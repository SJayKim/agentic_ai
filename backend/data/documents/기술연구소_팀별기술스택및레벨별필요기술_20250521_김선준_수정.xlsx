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on1\Downloads\"/>
    </mc:Choice>
  </mc:AlternateContent>
  <xr:revisionPtr revIDLastSave="0" documentId="13_ncr:1_{5485DED8-3C49-4A3E-975A-C70362A1D9F4}" xr6:coauthVersionLast="47" xr6:coauthVersionMax="47" xr10:uidLastSave="{00000000-0000-0000-0000-000000000000}"/>
  <bookViews>
    <workbookView xWindow="-110" yWindow="-110" windowWidth="38620" windowHeight="21100" firstSheet="5" activeTab="13" xr2:uid="{8B7CD3C6-65D8-4E42-A1CA-A77FB348D7BD}"/>
  </bookViews>
  <sheets>
    <sheet name="01_데이터베이스" sheetId="14" r:id="rId1"/>
    <sheet name="01_데이터베이스_기술진단시트" sheetId="23" r:id="rId2"/>
    <sheet name="02_차단엔진및오피스가드" sheetId="15" r:id="rId3"/>
    <sheet name="02_차단엔진및오피스가드_기술진단시트" sheetId="24" r:id="rId4"/>
    <sheet name="03_WEB" sheetId="16" r:id="rId5"/>
    <sheet name="03_WEB_기술진단시트" sheetId="25" r:id="rId6"/>
    <sheet name="04_Windows" sheetId="17" r:id="rId7"/>
    <sheet name="04_Windows_기술진단시트" sheetId="26" r:id="rId8"/>
    <sheet name="05_안드로이드" sheetId="19" r:id="rId9"/>
    <sheet name="05_안드로이드_기술진단시트" sheetId="27" r:id="rId10"/>
    <sheet name="06_AI" sheetId="20" r:id="rId11"/>
    <sheet name="06_AI_기술진단시트" sheetId="28" r:id="rId12"/>
    <sheet name="참고_전체기술스택" sheetId="5" r:id="rId13"/>
    <sheet name="참고_직급별_평가방법" sheetId="6" r:id="rId14"/>
  </sheets>
  <definedNames>
    <definedName name="_xlnm.Print_Area" localSheetId="12">참고_전체기술스택!$A$1:$L$64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8" l="1"/>
  <c r="E46" i="28" s="1"/>
  <c r="F48" i="27"/>
  <c r="E48" i="27" s="1"/>
  <c r="F47" i="26"/>
  <c r="E47" i="26" s="1"/>
  <c r="F47" i="25"/>
  <c r="E47" i="25" s="1"/>
  <c r="F53" i="24"/>
  <c r="E53" i="24" s="1"/>
  <c r="F47" i="23"/>
  <c r="E47" i="23" s="1"/>
</calcChain>
</file>

<file path=xl/sharedStrings.xml><?xml version="1.0" encoding="utf-8"?>
<sst xmlns="http://schemas.openxmlformats.org/spreadsheetml/2006/main" count="1036" uniqueCount="747">
  <si>
    <t>카테고리</t>
  </si>
  <si>
    <t>OfficeGuard SV</t>
  </si>
  <si>
    <t>Python</t>
  </si>
  <si>
    <t>✔</t>
  </si>
  <si>
    <t>Ruby</t>
  </si>
  <si>
    <t>SQL</t>
  </si>
  <si>
    <t>Linux shell script</t>
  </si>
  <si>
    <t>JAVA</t>
  </si>
  <si>
    <t>Kotlin</t>
  </si>
  <si>
    <t>Dart</t>
  </si>
  <si>
    <t>Oracle</t>
  </si>
  <si>
    <t>MariaDB</t>
  </si>
  <si>
    <t>Redis</t>
  </si>
  <si>
    <t>MongoDB</t>
  </si>
  <si>
    <t>InfluxDB</t>
  </si>
  <si>
    <t>ElasticSearch</t>
  </si>
  <si>
    <t>Clickhouse</t>
  </si>
  <si>
    <t>Pandas</t>
  </si>
  <si>
    <t>Numpy</t>
  </si>
  <si>
    <t>Selenium</t>
  </si>
  <si>
    <t>FastAPI</t>
  </si>
  <si>
    <t>Spring</t>
  </si>
  <si>
    <t>Spring Boot</t>
  </si>
  <si>
    <t>MyBatis</t>
  </si>
  <si>
    <t>JPA</t>
  </si>
  <si>
    <t>Flutter</t>
  </si>
  <si>
    <t>Git</t>
  </si>
  <si>
    <t>SVN</t>
  </si>
  <si>
    <t>Kafka</t>
  </si>
  <si>
    <t>Logstash</t>
  </si>
  <si>
    <t>IBExpert</t>
  </si>
  <si>
    <t>Figma</t>
  </si>
  <si>
    <t>NW기술 Lab</t>
    <phoneticPr fontId="3" type="noConversion"/>
  </si>
  <si>
    <t>솔루션 Lab</t>
    <phoneticPr fontId="3" type="noConversion"/>
  </si>
  <si>
    <t>DB</t>
    <phoneticPr fontId="3" type="noConversion"/>
  </si>
  <si>
    <t>Web</t>
    <phoneticPr fontId="3" type="noConversion"/>
  </si>
  <si>
    <t>Engine</t>
    <phoneticPr fontId="3" type="noConversion"/>
  </si>
  <si>
    <t>Windows</t>
  </si>
  <si>
    <t>Windows</t>
    <phoneticPr fontId="3" type="noConversion"/>
  </si>
  <si>
    <t>Android</t>
    <phoneticPr fontId="3" type="noConversion"/>
  </si>
  <si>
    <t>MFC</t>
  </si>
  <si>
    <t>Firebird</t>
  </si>
  <si>
    <t>Android Jetpack</t>
  </si>
  <si>
    <t>✔</t>
    <phoneticPr fontId="3" type="noConversion"/>
  </si>
  <si>
    <t>HTML</t>
  </si>
  <si>
    <t>CSS</t>
  </si>
  <si>
    <t>JavaScript</t>
  </si>
  <si>
    <t>JSTL/Thymeleaf</t>
  </si>
  <si>
    <t>MySQL</t>
  </si>
  <si>
    <t>Log4j/Logback</t>
  </si>
  <si>
    <t>프레임워크 /
라이브러리</t>
    <phoneticPr fontId="3" type="noConversion"/>
  </si>
  <si>
    <t>CentOS</t>
  </si>
  <si>
    <t>Ubuntu</t>
  </si>
  <si>
    <t>Rocky</t>
  </si>
  <si>
    <t>DPDK</t>
  </si>
  <si>
    <t>OS</t>
    <phoneticPr fontId="3" type="noConversion"/>
  </si>
  <si>
    <t>기타</t>
    <phoneticPr fontId="3" type="noConversion"/>
  </si>
  <si>
    <t>언어</t>
    <phoneticPr fontId="3" type="noConversion"/>
  </si>
  <si>
    <t>C++</t>
    <phoneticPr fontId="3" type="noConversion"/>
  </si>
  <si>
    <t>C</t>
    <phoneticPr fontId="3" type="noConversion"/>
  </si>
  <si>
    <t>Apache HTTP Server / Tomcat</t>
    <phoneticPr fontId="3" type="noConversion"/>
  </si>
  <si>
    <t>개발 환경 분류와 부서별 활용 여부</t>
    <phoneticPr fontId="3" type="noConversion"/>
  </si>
  <si>
    <t>AI Tech Lab</t>
    <phoneticPr fontId="3" type="noConversion"/>
  </si>
  <si>
    <t>Device Tech Lab</t>
    <phoneticPr fontId="3" type="noConversion"/>
  </si>
  <si>
    <r>
      <rPr>
        <b/>
        <sz val="7"/>
        <color rgb="FF262626"/>
        <rFont val="맑은 고딕"/>
        <family val="3"/>
        <charset val="129"/>
      </rPr>
      <t>환경</t>
    </r>
    <r>
      <rPr>
        <b/>
        <sz val="7"/>
        <color rgb="FF262626"/>
        <rFont val="Tahoma"/>
        <family val="2"/>
      </rPr>
      <t xml:space="preserve"> </t>
    </r>
    <r>
      <rPr>
        <b/>
        <sz val="7"/>
        <color rgb="FF262626"/>
        <rFont val="맑은 고딕"/>
        <family val="3"/>
        <charset val="129"/>
      </rPr>
      <t>요소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</si>
  <si>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작성 방법
</t>
    </r>
    <r>
      <rPr>
        <sz val="11"/>
        <color theme="1"/>
        <rFont val="맑은 고딕"/>
        <family val="3"/>
        <charset val="129"/>
        <scheme val="minor"/>
      </rPr>
      <t xml:space="preserve">- 부서별 각 파트에서 활용하고 있는 환경 요소에 </t>
    </r>
    <r>
      <rPr>
        <sz val="11"/>
        <color theme="1"/>
        <rFont val="Segoe UI Symbol"/>
        <family val="3"/>
      </rPr>
      <t>✔</t>
    </r>
    <r>
      <rPr>
        <sz val="11"/>
        <color theme="1"/>
        <rFont val="맑은 고딕"/>
        <family val="3"/>
        <charset val="129"/>
        <scheme val="minor"/>
      </rPr>
      <t xml:space="preserve"> 표시를 추가해 주십시오.
- 만약 사용 중인 환경 요소에 해당하는 항목이 목록에 없다면, 새로운 항목을 추가해 주십시오. </t>
    </r>
    <phoneticPr fontId="3" type="noConversion"/>
  </si>
  <si>
    <t>형상 관리</t>
    <phoneticPr fontId="3" type="noConversion"/>
  </si>
  <si>
    <t>Docker</t>
    <phoneticPr fontId="3" type="noConversion"/>
  </si>
  <si>
    <t>Kubernetes</t>
    <phoneticPr fontId="3" type="noConversion"/>
  </si>
  <si>
    <t>컨테이너 /
오케스트레이션</t>
    <phoneticPr fontId="3" type="noConversion"/>
  </si>
  <si>
    <t>CL4</t>
    <phoneticPr fontId="3" type="noConversion"/>
  </si>
  <si>
    <t>CL3</t>
    <phoneticPr fontId="3" type="noConversion"/>
  </si>
  <si>
    <t>CL2</t>
    <phoneticPr fontId="3" type="noConversion"/>
  </si>
  <si>
    <t>CL1</t>
    <phoneticPr fontId="3" type="noConversion"/>
  </si>
  <si>
    <t>직급</t>
    <phoneticPr fontId="3" type="noConversion"/>
  </si>
  <si>
    <t>레벨</t>
    <phoneticPr fontId="3" type="noConversion"/>
  </si>
  <si>
    <t>밴드</t>
    <phoneticPr fontId="3" type="noConversion"/>
  </si>
  <si>
    <t>I</t>
    <phoneticPr fontId="3" type="noConversion"/>
  </si>
  <si>
    <t>II</t>
    <phoneticPr fontId="3" type="noConversion"/>
  </si>
  <si>
    <t>배현우</t>
    <phoneticPr fontId="3" type="noConversion"/>
  </si>
  <si>
    <t>임장곤</t>
    <phoneticPr fontId="3" type="noConversion"/>
  </si>
  <si>
    <t>조영혁</t>
    <phoneticPr fontId="3" type="noConversion"/>
  </si>
  <si>
    <t>송승일</t>
    <phoneticPr fontId="3" type="noConversion"/>
  </si>
  <si>
    <t>장수정</t>
    <phoneticPr fontId="3" type="noConversion"/>
  </si>
  <si>
    <t>Engine/OfficeGuard</t>
    <phoneticPr fontId="3" type="noConversion"/>
  </si>
  <si>
    <t>AI</t>
    <phoneticPr fontId="3" type="noConversion"/>
  </si>
  <si>
    <t>송병학</t>
    <phoneticPr fontId="3" type="noConversion"/>
  </si>
  <si>
    <t>Multi Device</t>
    <phoneticPr fontId="3" type="noConversion"/>
  </si>
  <si>
    <t>SQLite</t>
    <phoneticPr fontId="3" type="noConversion"/>
  </si>
  <si>
    <r>
      <t xml:space="preserve">Room (SQLite </t>
    </r>
    <r>
      <rPr>
        <sz val="7"/>
        <color rgb="FF262626"/>
        <rFont val="맑은 고딕"/>
        <family val="2"/>
        <charset val="129"/>
      </rPr>
      <t xml:space="preserve">기반 </t>
    </r>
    <r>
      <rPr>
        <sz val="7"/>
        <color rgb="FF262626"/>
        <rFont val="Tahoma"/>
        <family val="2"/>
      </rPr>
      <t>ORM)</t>
    </r>
    <phoneticPr fontId="3" type="noConversion"/>
  </si>
  <si>
    <t>SwiftUI</t>
    <phoneticPr fontId="3" type="noConversion"/>
  </si>
  <si>
    <t>iOS</t>
    <phoneticPr fontId="3" type="noConversion"/>
  </si>
  <si>
    <t>PyTorch</t>
    <phoneticPr fontId="3" type="noConversion"/>
  </si>
  <si>
    <t>TensorFlow/Keras</t>
    <phoneticPr fontId="3" type="noConversion"/>
  </si>
  <si>
    <t>scikit-learn</t>
    <phoneticPr fontId="3" type="noConversion"/>
  </si>
  <si>
    <t>ONNX</t>
    <phoneticPr fontId="3" type="noConversion"/>
  </si>
  <si>
    <t>OpenCV</t>
    <phoneticPr fontId="3" type="noConversion"/>
  </si>
  <si>
    <t>CL1-I 와 CL2-I 의 차이가 거의 없음</t>
    <phoneticPr fontId="3" type="noConversion"/>
  </si>
  <si>
    <t>평가도구</t>
    <phoneticPr fontId="3" type="noConversion"/>
  </si>
  <si>
    <t>비고</t>
    <phoneticPr fontId="3" type="noConversion"/>
  </si>
  <si>
    <t>프로그램 코드가 요구사항을 만족하여 작성되었는지 평가</t>
    <phoneticPr fontId="3" type="noConversion"/>
  </si>
  <si>
    <t>평가방법</t>
    <phoneticPr fontId="3" type="noConversion"/>
  </si>
  <si>
    <t>평가내용</t>
    <phoneticPr fontId="3" type="noConversion"/>
  </si>
  <si>
    <t>코드리뷰</t>
    <phoneticPr fontId="3" type="noConversion"/>
  </si>
  <si>
    <t>코드리뷰회의</t>
    <phoneticPr fontId="3" type="noConversion"/>
  </si>
  <si>
    <t>팀장/사수</t>
    <phoneticPr fontId="3" type="noConversion"/>
  </si>
  <si>
    <t>프로젝트 성과 평가</t>
    <phoneticPr fontId="3" type="noConversion"/>
  </si>
  <si>
    <t>프로젝트 리뷰</t>
    <phoneticPr fontId="3" type="noConversion"/>
  </si>
  <si>
    <t>보유 기술 역량 평가</t>
    <phoneticPr fontId="3" type="noConversion"/>
  </si>
  <si>
    <t>공인시험 및 자격검정, 코딩테스트 등</t>
    <phoneticPr fontId="3" type="noConversion"/>
  </si>
  <si>
    <t>평가자(확인자)</t>
    <phoneticPr fontId="3" type="noConversion"/>
  </si>
  <si>
    <t>공개된 오픈소스 프로젝트에 기여하도록 하여 프로그래밍 실력을 검증</t>
    <phoneticPr fontId="3" type="noConversion"/>
  </si>
  <si>
    <t>오픈소스 프로젝트 결과물</t>
    <phoneticPr fontId="3" type="noConversion"/>
  </si>
  <si>
    <t>외부프로젝트 참여</t>
    <phoneticPr fontId="3" type="noConversion"/>
  </si>
  <si>
    <t>프로그래밍 대회에 참가하여 실력을 평가</t>
    <phoneticPr fontId="3" type="noConversion"/>
  </si>
  <si>
    <t>Codeforces, AtCoder 등</t>
    <phoneticPr fontId="3" type="noConversion"/>
  </si>
  <si>
    <t>포트폴리오</t>
    <phoneticPr fontId="3" type="noConversion"/>
  </si>
  <si>
    <t>기술 면접</t>
    <phoneticPr fontId="3" type="noConversion"/>
  </si>
  <si>
    <t>개발자의 개인 포트폴리오를 제출하도록 하여 프로젝트 경험과 기술력을 검토 및 평가</t>
    <phoneticPr fontId="3" type="noConversion"/>
  </si>
  <si>
    <t>-</t>
    <phoneticPr fontId="3" type="noConversion"/>
  </si>
  <si>
    <t>면접을 통해 문제 해결 능력, 기술적 지식, 커뮤니케이션 능력 등을 평가</t>
    <phoneticPr fontId="3" type="noConversion"/>
  </si>
  <si>
    <t>리뷰 시 필요 도구 사용 숙지 여부를 함께 확인</t>
    <phoneticPr fontId="3" type="noConversion"/>
  </si>
  <si>
    <t>개발자가 보유한 기술 역량을 실제 코드 구현 및 테스트를 통해 평가</t>
    <phoneticPr fontId="3" type="noConversion"/>
  </si>
  <si>
    <t>개발자가 보유한 기술 역량을 기술 세미나 등을 통해 평가</t>
    <phoneticPr fontId="3" type="noConversion"/>
  </si>
  <si>
    <t>담당한 개발 프로젝트에서의 요구사항 충족 여부 평가</t>
    <phoneticPr fontId="3" type="noConversion"/>
  </si>
  <si>
    <t>담당한 개발 프로젝트에서의  기능 완성도 평가</t>
    <phoneticPr fontId="3" type="noConversion"/>
  </si>
  <si>
    <t>담당한 개발 프로젝트에서의 납기 준수 여부 평가</t>
    <phoneticPr fontId="3" type="noConversion"/>
  </si>
  <si>
    <t>직급별 역량 평가 방법</t>
    <phoneticPr fontId="3" type="noConversion"/>
  </si>
  <si>
    <t>1. 수행 프로젝트 리뷰
   - 평가 방법 :
      - 프로젝트 리뷰 회의 진행 후 개발자(관리자, 팀원) 상호 평가
   - 프로젝트 분야 :
     - MVVM, Clean Architecture 기반의 설계 및 유지보수 완성도 평가
     - 대규모 프로젝트 성능 최적화(메모리, 배터리, 네이티브 코드 활용) 완성도 평가
     - CI/CD 설계 및 유지보수 기여도 평가
2. 기술 교육 이수 (또는 세미나 발표)
   - 평가 방법 :
      - 외부 교육 이수 여부 확인 및 사내 세미나 진행
   - 교육 및 세미나 분야 :
      - 최신 안드로이드 기술 트렌드 분석 및 적용 사례 연구
      - 크로스플랫폼(Android + iOS) 개발 사례 및 KMP 도입 가능성 연구
      - 안드로이드 성능 최적화 (메모리 관리, 네트워크 최적화) 관련 교육 수행
3. 코드 및 결과 리뷰
   - 평가 방법 :
      - 코드 리뷰 회의 진행 후 개발자(관리자, 팀원) 상호 평가
   - 리뷰 분야 :
      - 아키텍처 설계 및 코드 품질 검토 (모듈화, DI 적용 여부)
      - 네이티브 코드(C/C++) 연동 및 성능 최적화 코드 리뷰
      - 팀 코드 리뷰 및 기술 공유 기여도 평가</t>
    <phoneticPr fontId="3" type="noConversion"/>
  </si>
  <si>
    <t>1. 수행 프로젝트 리뷰
   - 평가 방법 :
      - 프로젝트 리뷰 회의 진행 후 개발자(관리자, 팀원) 상호 평가
   - 프로젝트 분야 :
      - Flutter, Kotlin Multiplatform, JavaScript/TypeScript 활용한 프로젝트 설계 및 완성도 평가
      - Android/iOS 네이티브 연동 및 커스텀 모듈 개발 완성도 평가
      - 멀티 디바이스(Android TV, Tizen, webOS 등) 지원 앱 개발 및 유지보수 기여도 평가
2. 기술 교육 이수 (또는 세미나 발표)
   - 평가 방법 :
      - 외부 교육 이수 여부 확인 및 사내 세미나 진행
   - 교육 및 세미나 분야 :
      - 크로스 플랫폼 개발 트렌드 및 기술 스택 연구 (Flutter, React Native, KMP)
      - 네이티브 기능 연동 및 최적화 (Swift, Objective-C, Win32 API) 교육 수행
      - 다양한 기기(스마트폰, 태블릿, TV 등)에서의 UX/UI 최적화 연구 및 공유
3. 코드 및 결과 리뷰
   - 평가 방법 :
      - 코드 리뷰 회의 진행 후 개발자(관리자, 팀원) 상호 평가
   - 리뷰 분야 :
      - 크로스 플랫폼 프로젝트 구조 및 모듈화 설계 코드 검토
      - 멀티 디바이스 지원을 위한 성능 최적화 코드 리뷰
      - 기술 공유 및 코드 리뷰 기여도 평가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</si>
  <si>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   - 프로젝트 리딩 및 팀 협업 능력 평가 (문서 작성 및 기술 공유 포함)
2. 기술 교육 이수 (또는 세미나 발표)
- 평가 방법 :
   - 외부 교육 이수 여부 확인 및 사내 세미나 진행
- 교육 및 세미나 분야:
   - AI 아키텍처 설계 및 최적화 (Efficient Transformers, MoE, Sparse Modeling 등)
   - 데이터 파이프라인 설계 및 관리
   - AI Agent 설계 및 최적화 (LangGraph, LangChain 등)
   - 멀티모달 AI 모델 설계 및 최적화 (Cross-Attention, Alignment, Contrastive Learning 등)
   - 온디바이스 AI 설계 및 최적화 (LLM 미세조정 및 경량화)
3. 코드 및 결과 리뷰
- 평가 방법 : 
   - 코드 리뷰 회의 진행 후 개발자(관리자, 팀원) 상호 평가
- 리뷰 분야:
   - AI 아키텍처 설계 및 최적화 (Efficient Transformers, MoE, Sparse Modeling 등)
   - 데이터 파이프라인 설계 및 관리
   - AI Agent 설계 및 최적화 (LangGraph, LangChain 등)
   - 멀티모달 AI 모델 설계 및 최적화 (Cross-Attention, Alignment, Contrastive Learning 등)
   - 온디바이스 AI 설계 및 최적화 (LLM 미세조정 및 경량화)</t>
    <phoneticPr fontId="3" type="noConversion"/>
  </si>
  <si>
    <t>1. 수행 프로젝트 리뷰
   - 평가 방법 :
      - 프로젝트 리뷰 회의 진행 후 개발자(관리자, 팀원) 상호 평가
   - 프로젝트 분야 :
      - Jetpack, Firebase, 네트워크 통신(Retrofit, gRPC) 활용 프로젝트 완성도 평가
      - 멀티모듈 프로젝트 설계 및 유지보수 기여도 평가
      - 메모리 누수, 성능 개선 완성도 평가 (LeakCanary, Profiler 활용 여부)
2. 기술 교육 이수 (또는 세미나 발표)
   - 평가 방법 :
      - 외부 교육 이수 여부 확인 및 사내 세미나 진행
   - 교육 및 세미나 분야 : 
      - 안드로이드 보안(데이터 보호, 암호화) 및 접근성(Assistive API) 관련 교육 수행
      - 최신 안드로이드 API 및 Jetpack 라이브러리 활용법 연구 및 공유
      - Android 베타 OS 관련 신규 기능 적용 연구 및 발표
3. 코드 및 결과 리뷰
   - 평가 방법 : 
      - 코드 리뷰 회의 진행 후 개발자(관리자, 팀원) 상호 평가
   - 리뷰 분야 : 
      - DI(Dagger/Hilt) 적용 여부 및 모듈화 코드 리뷰
      - 백그라운드 서비스 최적화 및 배터리 효율 코드 분석
      - UI 테스트(Espresso) 및 자동화 테스트 코드 기여도 평가</t>
    <phoneticPr fontId="3" type="noConversion"/>
  </si>
  <si>
    <t>1. 수행 프로젝트 리뷰
   - 평가 방법 :
      - 프로젝트 리뷰 회의 진행 후 개발자(관리자, 팀원) 상호 평가
   - 프로젝트 분야 :
      - Flutter, React Native, Kotlin Multiplatform 활용 프로젝트 개발 완성도 평가
      - Android/iOS/Windows Native 라이브러리 활용 완성도 평가
      - 다양한 기기에서 일관된 UX를 유지하기 위한 설계 및 테스트 완성도 평가
2. 기술 교육 이수 (또는 세미나 발표)
   - 평가 방법 :
      - 외부 교육 이수 여부 확인 및 사내 세미나 진행
   - 교육 및 세미나 분야 : 
      - CocoaPods, Swift Package Manager(SPM) 활용법 연구, 발표
      - Jetpack 및 SwiftUI 기반 UI 최적화 기법 학습 및 공유
      - 크로스 플랫폼 개발 환경에서 협업 및 코드 리뷰 방법론 연구
3. 코드 및 결과 리뷰
   - 평가 방법 : 
      - 코드 리뷰 회의 진행 후 개발자(관리자, 팀원) 상호 평가
   - 리뷰 분야 : 
      - 크로스 플랫폼 앱 개발 및 최적화 코드 리뷰
      - 네이티브 연동 모듈 개발 및 성능 개선 코드 검토
      - 프로젝트 일정 및 요구사항 분석을 통한 최적화 기여도 평가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</si>
  <si>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   - 프로젝트 리딩 및 팀 협업 능력 평가 (문서 작성 및 기술 공유 포함)
2. 기술 교육 이수 (또는 세미나 발표)
- 평가 방법 :
   - 외부 교육 이수 여부 확인 및 사내 세미나 진행
- 교육 및 세미나 분야:
   - 멀티모달 AI 모델링 (Representation Learning, Fusion, Co-learning 등) 이해
   - 이미지 생성 모델 (Stable Diffusion) 이해
   - Vector Database &amp; 검색 최적화 (인덱싱 및 쿼리 최적화, 벡터 양자화 등) 이해
   - LLM 기반 추천 시스템 이해
   - AI Agent 이해 (LangGraph, LangChain 등)
   - 음성 인식 및 음향 모델 이해
   - MLOps 최적화 (파이프라인 자동화, 모델 성능 모니터링 등) 이해
3. 코드 및 결과 리뷰
- 평가 방법 : 
   - 코드 리뷰 회의 진행 후 개발자(관리자, 팀원) 상호 평가
- 리뷰 분야:
   - 멀티모달 AI 모델링 (Representation Learning, Fusion, Co-learning 등) 활용
   - Vector Database &amp; 검색 최적화 (인덱싱 및 쿼리 최적화, 벡터 양자화 등) 활용
   - LLM 기반 추천 시스템 구현
   - AI Agent 활용 (LangGraph, LangChain 등)
   - 음성 인식 및 음향 모델 활용
   - MLOps 최적화 (파이프라인 자동화, 모델 성능 모니터링 등) 활용</t>
    <phoneticPr fontId="3" type="noConversion"/>
  </si>
  <si>
    <t>1. 수행 프로젝트 리뷰
   - 평가 방법 :
      - 프로젝트 리뷰 회의 진행 후 개발자(관리자, 팀원) 상호 평가
   - 프로젝트 분야 :
      - Jetpack 구성 요소(Room, LiveData, ViewModel) 활용 프로젝트 코드 완성도 평가
      - 네트워크 통신 구현 및 데이터 처리(REST API, WebSocket) 적용 사례 완성도 평가
      - CI/CD 유지보수 및 배포 자동화 적용 기여도 평가
2. 기술 교육 이수 (또는 세미나 발표)
   - 평가 방법 :
      - 외부 교육 이수 여부 확인 및 사내 세미나 진행
   - 교육 및 세미나 분야 : 
      - 안드로이드 네트워크 성능 최적화 (OkHttp, WebSocket, gRPC) 관련 연구 및 발표
      - Gradle 최적화 및 멀티모듈 프로젝트 구축 교육 수행
      - Jetpack Compose 적용 사례 및 UI 최적화 연구
3. 코드 및 결과 리뷰
   - 평가 방법 : 
      - 코드 리뷰 회의 진행 후 개발자(관리자, 팀원) 상호 평가
   - 리뷰 분야 : 
      - 네트워크 통신 구현 및 최적화 코드 리뷰
      - 데이터 저장(SharedPreferences, DataStore, Room) 활용 코드 검토
      - 백그라운드 서비스(WorkManager) 활용 및 최적화 코드 분석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</si>
  <si>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   - 프로젝트 리딩 및 팀 협업 능력 평가 (문서 작성 및 기술 공유 포함)
2. 기술 교육 이수 (또는 세미나 발표)
- 평가 방법 :
   - 외부 교육 이수 여부 확인 및 사내 세미나 진행
- 교육 및 세미나 분야:
   - Transformer 모델 (BERT, GPT 계열 등) 및 LLM Transfer Learning, Fine-tuning 이해
   - 생성 모델 (AE, VAE, GAN 등) 이해
   - LLM 경량화 (QLoRA 등) 이해
   - Vector Database &amp; 검색 (Langchain, RAG 등) 이해
   - 음성 인식 및 음향 모델 이해
3. 코드 및 결과 리뷰
- 평가 방법 : 
   - 코드 리뷰 회의 진행 후 개발자(관리자, 팀원) 상호 평가
- 리뷰 분야:
   - Transformer 모델 (BERT, GPT 계열 등) 및 LLM Transfer Learning, Fine-tuning
   - 생성 모델 (AE, VAE, GAN 등) 활용
   - LLM 경량화 (QLoRA 등) 활용
   - Vector Database &amp; 검색 (Langchain, RAG 등) 활용
   - 추천 알고리즘 활용 (TF-IDF, Matrix Factorization, LLM 등)
   - ML/DL 모델 서빙 활용 (TensorFlow Serving, TorchServe, ONNX, TensorRT 등)</t>
    <phoneticPr fontId="3" type="noConversion"/>
  </si>
  <si>
    <t>1. 수행 프로젝트 리뷰
   - 평가 방법 :
      - 프로젝트 리뷰 회의 진행 후 개발자(관리자, 팀원) 상호 평가
   - 프로젝트 분야 :
      - UI/UX 구현(ConstraintLayout, RecyclerView) 프로젝트 내 적용 완성도 평가
      - Firebase 연동(Authentication, Cloud Messaging) 및 데이터 저장 적용 완성도 평가
   - 백그라운드 작업(WorkManager) 구현 및 최적화 시도 평가
2. 기술 교육 이수 (또는 세미나 발표)
   - 평가 방법 :
      - 외부 교육 이수 여부 확인 및 사내 세미나 진행
   - 교육 및 세미나 분야 : 
      - Logcat 및 Profiler 활용 디버깅 기법 연구 및 발표
      - Jetpack Navigation 및 Fragment 관리 최적화 연구
      - 앱 성능 분석 및 최적화 교육 수행
3. 코드 및 결과 리뷰
   - 평가 방법 : 
      - 코드 리뷰 회의 진행 후 개발자(관리자, 팀원) 상호 평가
   - 리뷰 분야 : 
      - UI 구현 및 성능 최적화 코드 검토
      - 네트워크 요청 최적화(Retrofit, OkHttp) 코드 리뷰
      - Android Profiler를 활용한 메모리 및 CPU 최적화 코드 분석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</si>
  <si>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   - 팀 협업 능력 평가 (문서 작성 및 기술 공유 포함)
2. 기술 교육 이수 (또는 세미나 발표)
- 평가 방법 :
   - 외부 교육 이수 여부 확인 및 사내 세미나 진행
- 교육 및 세미나 분야:
   - 비전 모델 (객체 분류 및 탐지, Semantic Segmentation 등) 이해
   - NLP 모델 (Autoencoder, GAN, Seq2seq 등) 이해
   - 추천 알고리즘 이해 (콘텐츠 기반, 협업 기반 필터링 등)
3. 코드 및 결과 리뷰
- 평가 방법 : 
   - 코드 리뷰 회의 진행 후 개발자(관리자, 팀원) 상호 평가
- 리뷰 분야:
   - 비전 모델 (객체 분류 및 탐지, Semantic Segmentation 등) 활용
   - NLP 모델 (Autoencoder, GAN, Seq2seq 등) 활용
   - AI 모델 경량화 (Parameter Efficient Fine Tuning) 활용 
   - MLOps 파이프라인 구축 (Airflow, Kubernetes 등)</t>
    <phoneticPr fontId="3" type="noConversion"/>
  </si>
  <si>
    <t>1. 수행 프로젝트 리뷰
   - 평가 방법 :
      - 프로젝트 리뷰 회의 진행 후 개발자(관리자, 팀원) 상호 평가
   - 프로젝트 분야 :
      - UI/UX 구현(Button, TextView 등 위젯)프로젝트 적용 완성도 평가
      - Android 생명주기(Activity, Fragment) 이해 및 적용 완성도 평가
      - Git을 활용한 코드 관리 및 협업 완성도 평가
2. 기술 교육 이수 (또는 세미나 발표)
   - 평가 방법 :
      - 외부 교육 이수 여부 확인 및 사내 세미나 진행
   - 교육 및 세미나 분야 : 
      - Gradle 기본 설정 및 빌드 최적화 교육 수행
      - Room 및 SQLite 데이터 저장 방식 연구
      - 기본적인 백그라운드 작업(WorkManager, Foreground Service) 학습 및 발표
3. 코드 및 결과 리뷰
   - 평가 방법 : 
      - 코드 리뷰 회의 진행 후 개발자(관리자, 팀원) 상호 평가
   - 리뷰 분야 : 
      - XML 레이아웃 구성 및 UI 코드 검토
      - 간단한 데이터 저장(Room, SharedPreferences) 코드 리뷰
      - 로그 분석 및 오류 해결(Logcat) 코드 검토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</si>
  <si>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2. 기술 교육 이수 (또는 세미나 발표)
- 평가 방법 :
   - 외부 교육 이수 여부 확인 및 사내 세미나 진행
- 교육 및 세미나 분야:
   - 데이터 수집 및 가공 (Numpy, Pandas, Selenium 등) 이해
   - 데이터 분석 및 전처리, 시각화, 피처 엔지니어링 이해
   - AI 모델 경량화 기본 (Quantization, Pruning, Knowledge Distillation) 이해
   - MLOps 기본 (CD/CI, Docker, Kubernetes 등) 이해
3. 코드 및 결과 리뷰
- 평가 방법 : 
   - 코드 리뷰 회의 진행 후 개발자(관리자, 팀원) 상호 평가
- 리뷰 분야:
   - 머신러닝 &amp; 딥러닝 모델 이해 및 활용 (PyTorch/TensorFlow 활용한 CNN/RNN/Transformer 기본 구현)
   - 데이터 수집 및 가공 (Numpy, Pandas, Selenium 등) 활용
   - 데이터 분석 및 전처리, 시각화, 피처 엔지니어링 활용</t>
    <phoneticPr fontId="3" type="noConversion"/>
  </si>
  <si>
    <t>1. 수행 프로젝트 리뷰
   - 평가 방법 :
      - 프로젝트 리뷰 회의 진행 후 개발자(관리자, 팀원) 상호 평가
   - 프로젝트 분야 :
      - 기본적인 UI 구현 및 이벤트 처리 코드 완성도 평가
      - Activity 및 Fragment 간 데이터 전달 및 화면 전환 완성도 평가
      - Android Studio 및 Gradle 기본 설정 및 활용 평가
2. 기술 교육 이수 (또는 세미나 발표)
   - 평가 방법 :
      - 외부 교육 이수 여부 확인 및 사내 세미나 진행
   - 교육 및 세미나 분야 : 
      - Git을 활용한 버전 관리 및 협업 교육 수행
      - Android 기본 구성 요소(Activity, Fragment) 학습 및 발표
      - 기본적인 API 요청 및 JSON 파싱 학습 및 적용
3. 코드 및 결과 리뷰
   - 평가 방법 : 
      - 코드 리뷰 회의 진행 후 개발자(관리자, 팀원) 상호 평가
   - 리뷰 분야 : 
      - 기본적인 UI 컴포넌트 활용 코드 리뷰
      - 네트워크 요청 및 데이터 처리 코드 검토
      - Android Studio 디버깅(Logcat 활용) 코드 검토</t>
    <phoneticPr fontId="3" type="noConversion"/>
  </si>
  <si>
    <t>1. 수행 프로젝트 리뷰
- 평가 방법:
   - 프로젝트 리뷰 회의 진행 후 개발자(관리자, 팀원) 상호 평가
- 평가 내용:
   - 프로젝트 성과 (기술적 기여도 및 기능 완성도 평가)
   - 코드 품질 평가 (코드 리뷰)
2. 기술 교육 이수 (또는 세미나 발표)
- 평가 방법 :
   - 외부 교육 이수 여부 확인 및 사내 세미나 진행
- 교육 및 세미나 분야:
   - 머신러닝 &amp; 딥러닝
   - 지도학습 &amp; 비지도학습 
   - 데이터 전처리 (Data Cleaning, Data Transformation)
   - SQL 및 Databse 기초 지식 (기본 문법, SQL 기반 데이터 전처리)
   - Git을 활용한 소스 버전 관리
3. 코드 및 결과 리뷰
- 평가 방법 : 
   - 코드 리뷰 회의 진행 후 개발자(관리자, 팀원) 상호 평가
- 리뷰 분야:
   - 기본적인 머신러닝 및 딥러닝 모델 활용 (Scikit-learn, TensorFlow/PyTorch 기본 활용)
   - API 개발 (FastAPI, Flask 등)
   - 데이터 처리 및 시각화 (NumPy, Pandas, OpenCV, Matplotlib, Seaborn 등 기본 활용)</t>
    <phoneticPr fontId="3" type="noConversion"/>
  </si>
  <si>
    <t xml:space="preserve">1. 기술 선도 능력
- 데이터 거버넌스 및 표준 정립
- 데이터 품질 관리
- 데이터 과학 및 머신러닝 관련 기술 이해
- 데이터베이스 관련 연구 및 개발
- 새로운 데이터베이스 기술 및 동향 파악
2. 업무 능력
- 데이터베이스 분야의 리더십
- 전략적 의사 결정 능력
- 다양한 이해관계자와의 협업을 통한 최적화된 시스템 구축
- 기술적, 업무적 문제 해결 능력
- 후임 개발자 멘토링
</t>
  </si>
  <si>
    <t>1. 프로젝트 수행
- 프로젝트 리딩 및 관리 (PM)
- 요구사항에 맞는 최적의 기술 스택을 선정
- 확장성과 성능을 고려한 아키텍처 설계
※ 평가자: PM
2. 코드 리뷰
- 전반적 시스템 설계
  * 코드의 시스템 아키텍쳐 일치성, 모듈 분리 적합성
- 확장성
  * 코드와 시스템 설계의 미래 확장성
- 전체 성능 최적화
  * 시스템 차원의 성능 최적화, 병목 현상 예방 설계
- 코드 품질 및 테스트
  * 코드 품질 및 테스트 방안 제시, 전체 시스템 테스트 구성 적합성
※ 평가자: PM, CL3, CL4
※ 평가:도구: Github(Pull Request)</t>
    <phoneticPr fontId="3" type="noConversion"/>
  </si>
  <si>
    <t xml:space="preserve">1. 프로젝트 수행
- 시스템 확장성 및 안정성을 고려한 인프라 설계
- 아키텍처 설계 및 기술 리스크 관리
- 프로젝트 일정/품질 등의 관리 능력
- 웹 표준 및 보안 관련 문제 해결
2. 서비스 운영 및 협업
- 장애 대응 및 복구 시간 (MTTR, MTTD)
- 유지보수 일정 준수
- 안정적인 웹 서버 운영
- 여러 부서 간의 협업 및 커뮤니케이션 주도
3. 자기개발
- 조직의 기술적 문제 해결
- 최신 기술 동향을 파악하고 팀내 적용
- 외부 세미나/컨퍼런스 및 교육 참석
</t>
  </si>
  <si>
    <t>1. 프로젝트 수행
- 프로젝트 성과(기술적 기여도 평가)
- 코드 품질 평가(코드 리뷰)
- 프로젝트 리딩 및 관리 능력 평가(문서 작성 및 기술 공유 포함)
2. 협업 및 의사소통
- 객체지향 분석과 설계 교육
- 기술 트렌드 분석과 실무 적용 최신 기술 트렌드에 대한 분석교육
- 팀내 기술 세미나 및 맨토링
3. 코드 및 결과 리뷰
- 코드 품질 최적화 리팩토링 능력
- Window 기반 다양한 언어의 모듈화 설계 능력 
- DI 적용 현황을 종합적으로 리뷰
- 팀 코드 리뷰 및 기술 공유 기여도 평가
- 성능 최적화 전략의 가치를 평가</t>
  </si>
  <si>
    <t>1. DB 구축, 운영 능력
- 빅데이터 시스템 각 Layer 에 대한 구조 이해와 설계 
  * 수집 Layer
  * 저장 Layer
  * 가공 Layer
  * 분석 Layer
- VectorDB 에 대한 이해 와 활용
2. 데이터 수집 가공 능력
- AI Model 을 이해하고, 이를 활용한 데이터 Embedding 및 DB구축
- 다양한 분석 기법을 활용한 유의미한 데이터 도출 및 시각화 
3. 기술 능력 확인
- 개발 일정 준수
- 개발 프로그램 장애(버그) 횟수
- 최신 기술 연구 및 시스템 고도화에 기여한 기여도
- 프로젝트 리딩 능력</t>
    <phoneticPr fontId="3" type="noConversion"/>
  </si>
  <si>
    <t>1. 프로젝트 수행
- 프로젝트 리딩 및 관리 (PM)
- 목표 달성을 위한 기술적 기여도
- 비즈니스 요구사항 분석
- 확장성 및 성능을 고려한 시스템 설계
※ 평가자: PM
2. 코드 리뷰
- 시스템 아키텍쳐 검토
  * 코드의 시스템 아키텍쳐 적합성, 효과적이고 확장 가능한 설계
- 기술 스택 결정 및 표준화
  * 적합한 기술 스택 선택, 코드 표준 정의
- 성능 최적화 및 스케일링
  * 시스템 설계의 확장성 확보, 성능과 스케일링 고려
- 보안 및 규정준수
  * 보안 표준과 규정 준수, 외부 라이브러리나 종속성에 대한 안전 관리
- 팀 코디 리뷰 문화 관리
  * 코드 리뷰 관리, 피드백을 적절히 주고 받는지 점검
※ 평가자: PM, CL3, CL4
※ 평가:도구: Github(Pull Request), Flawfinder(보안), GProf(성능)</t>
    <phoneticPr fontId="3" type="noConversion"/>
  </si>
  <si>
    <t>1. 프로젝트 수행
- 프로젝트 리딩 및 일정 관리 능력
- 데이터베이스 성능 튜닝 및 최적화
- 보안(OWASP Top 10) 고려한 개발
- 시큐어 코딩 작성 검토 및 검증 능력
- 대규모 트래픽을 처리할 수 있는 웹 시스템 설계
- sql 성능 최적화
2. 서비스 운영 및 협업
- 신속한 장애 분석 및 업무 분배
- 유지보수 일정 준수
- 안정적인 웹 서버 운영
- 팀원간의 협업 및 커뮤니케이션 리딩 태도
3. 자기개발
- 신기술 도입을 검토
- 외부 세미나/컨퍼런스 및 교육 참석</t>
  </si>
  <si>
    <t>1. 프로젝트 수행
- 프로젝트 참여 기여도
- C/C++언어의 포인터, 메모리 관리, STL 사용 능력
- UI/UX 설계 원리 이해에 따른 사용자 경험 최적화 능력
- 프로젝트 리딩 및 관리 능력 평가(문서 작성 및 기술 공유 포함)
2. 협업 및 의사소통
- 객체지향 분석과 설계 교육
- 기술 트렌드 분석과 실무 적용 최신 기술 트렌드에 대한 분석교육
- 팀원 간 소통과 협업에 대한 태도
- 팀내 기술 세미나 및 맨토링
3. 코드 및 결과 리뷰
- 코드 품질 최적화 리팩토링 능력
- Window 기반 다양한 언어의 모듈화 설계 능력
- DI 적용 현황을 종합적으로 리뷰
- 팀 코드 리뷰 및 기술 공유 기여도 평가
- 성능 최적화 전략의 가치를 평가</t>
  </si>
  <si>
    <t xml:space="preserve">1. DB 구축, 운영 능력
- DocumentDB, Key-Value DB 등 Nosql 에 대한 구조 이해도
- 성능에 최적화된 Nosql DB 물리적 구성 설계
- 데이터 영속성을 위한 클러스터링 구축 능력
- DB 장애 발생시 장애 등급별 복구 시간
  * 1lv Transaction 장애
  * 2lv 시스템(OS,DBMS)
  * 3lv 미디어장애(HDD) 
2. 데이터 수집 가공 능력
- 비정형 오픈 데이터 수집 방안 도출 능력
  * Open API
  * WEB Pages
  * Streaming Site
3. 기술 능력 확인
- 개발 일정 준수
- 개발 프로그램 장애(버그) 빈도
- 구축한 DB에 대한 장애 발생 빈도
- 개발 협업 능력
</t>
    <phoneticPr fontId="3" type="noConversion"/>
  </si>
  <si>
    <t>1. 프로젝트 수행
- 프로젝트 리딩 및 관리 (PM)
- 기술적 요구사항 분석 및 단위 시스템 설계
- 기술 멘토링 및 협업
- 문제 진단 및 해결
※ 평가자: PM
2. 코드 리뷰
- 성능 최적화 및 알고리즘
  * 코드 성능 영향 최소화 및 최적화
- 동시성 및 멀티스레딩 처리
  * 경쟁조건, 데드락 문제 처리
- 보안 코드
  * 버퍼 오버플로우, 문자열 포멧 취약점 등
- 확장성
  * 시스템 확장 가능성 및 유지 보수성
※ 평가자: PM, CL3, CL4
※ 평가:도구: Github(Pull Request), ThreadSanitizer(쓰레드), Flawfinder(보안)</t>
    <phoneticPr fontId="3" type="noConversion"/>
  </si>
  <si>
    <t xml:space="preserve">1. 프로젝트 수행 
- API 설계 및 문서화
- sql 성능 튜닝
- 디자인 패턴, SOLID 원칙을 적용한 코드 작성
- 웹 접근성을 고려한 개발
- 주요 기능 배포 성공률
- WEB/WAS 서버 보안을 고려한 튜닝
- 주니어 개발자 멘토링 및 코드 리뷰 리딩
- 팀원간 의사소통에 중재자 역활
2. 서비스 운영 및 협업
- 장애 발생 시 적극적인 해결
- 유지보수 일정 준수
- 주기적인 서비스 모니터링
- 안정적인 웹 서버 운영
- 팀원간 의사소통에 중재자 역활
3. 자기개발
- 새로운 기술 도입 및 팀 내 공유
- 외부 세미나/컨퍼런스 및 교육 참석
</t>
  </si>
  <si>
    <t>1. 프로젝트 수행.
- 프로젝트 참여 기여도
- C/C++언어의 포인터, 메모리 관리, STL 사용 능력
- UI/UX 설계 원리 이해에 따른 사용자 경험 최적화 능력
- Git을 활용한 코드 관리 능력
2. 협업 및 의사소통
- 객체지향 분석과 설계 교육
- 기술 트렌드 분석과 실무 적용 최신 기술 트렌드에 대한 분석교육
- 팀원 간 소통과 협업에 대한 태도
- 팀내 기술 세미나 및 맨토링
3. 코드 및 결과 리뷰
- 코드 품질 최적화 리팩토링 능력
- Window 기반 다양한 언어의 모듈화 설계 능력
- DI 적용 현황을 종합적으로 리뷰
- 팀 코드 리뷰 및 기술 공유 기여도 평가</t>
  </si>
  <si>
    <t>1. DB 구축, 운영 능력
- 논리적이고 확장성 있는 ERD설계
- 성능에 최적화 된 물리적 Table 설계
- DB 이중화 구성
- 보안에 위배 되지 않는 권한 설정
2. 데이터 수집 가공 능력
- 오픈 데이터 수집 을 위한 다양한 파이선 프레임웍 활용능력 
  * pandas
  * BeautifulSoup
  * Selenium
  * Scrapy
3. 기술 능력 확인
- 개발 일정 준수
- 개발 프로그램 장애(버그) 빈도</t>
    <phoneticPr fontId="3" type="noConversion"/>
  </si>
  <si>
    <t>1. 프로젝트 수행
- 독립적 모듈 설계/구현
- 기술문서 작성
- 기술 공유 및 협업
※ 평가자: PL
2. 코드 리뷰
- 성능 최적화
  * 불필요한 반복문, 비효율적인 알고리즘 등 개선 사항
- 메모리 사용
  * 동적메모리 할당/해제, 메모리 누수
- 다양한 상황에 대한 테스트
  * 예외 처리 코드, 예외 상황 처리
- 모듈화 및 재사용성
  * 기능 분리, 재사용 가능하도록 구성
- 정확한 오류 처리
  * 시스템에서 발생 가능한 오류에 대한 적절한 처리
※ 평가자: PL, CL2, CL3
※ 평가:도구: Github(Pull Request), Valgrind(MEM), AddressSanitizer(MEM)</t>
  </si>
  <si>
    <t>1. 프로젝트 수행
- Java, HTML, CSS, JavaScript 응용 능력
- 프론트엔드 &amp; 백엔드 이해 및 활용 능력
- 단위 테스트 계획서 작성 및 수행력
- Spring, spring Boot 활용한 프로젝트 구성
- REST API 활용 및 응용
- 객체지향 프로그램 능력
- 다양한 Browser 환경에 맞는 개발
2. 서비스 운영 및 협업
- 장애 발생 시 적극적인 해결
- 유지보수 일정 준수
- 주기적인 서비스 모니터링
- 안정적인 웹 서버 운영
- 팀원간의 의사소통에 적극적인 자세
3. 자기개발
- 새로운 기술과 트렌드 학습
- 팀내 기술 세미나
- 외부 기술 교육 이수</t>
  </si>
  <si>
    <t>1. 프로젝트 수행.
- 프로젝트 참여 기여도
- C/C++언어의 포인터, 메모리 관리 능력
- UI/UX 구현 및 이벤트 처리 능력
- 네트워크에 대한 이해 능력
- Git을 활용한 코드 관리 능력
2. 협업 및 의사소통
- 객체지향 분석과 설계 교육
- 팀원 간 소통과 협업에 대한 태도
- 팀내 기술 세미나
3. 코드 및 결과 리뷰
- 코드 품질 최적화 리팩토링 능력
- Window 기반 다양한 언어의 모듈화 설계 능력
- DI 적용 현황을 종합적으로 리뷰
- 팀 코드 리뷰 및 기술 공유 기여도 평가</t>
  </si>
  <si>
    <t>1. DB 구축 능력, 운영 능력
- ERD 이해도 
- 논리적으로 최적화 된 SQL 문장 작성 능력
- RDBMS 백업, 복구 스크립트 작성 능력
- Linux OS Install
- Linux 기반 RDBMS (Oracle, Mysql, MariaDB) install
2. 데이터 수집,처리,가공 능력
- 다양한 정형 데이터 포멧에 대한 이해도
- 정형 데이터 가공을 위한 정규 표현식 활용능력
3. 기술 능력 성장성 확인
- 기술 세미나 발표
- 기술 교육 이수</t>
  </si>
  <si>
    <t>1. 프로젝트 수행
- 단위 모듈 구현의 정확성
- 기술 공유 및 협업
※ 평가자: PL
2. 코드 리뷰
- 기본 문법과 규칙 준수
  * 코드 스타일, 들여쓰기, 괄호, 함수 및 변수명 규칙
- 기본 메모리 관리
  * malloc/free 적절한 사용, 메모리 누수
- 기독성 및 유지보수성
  * 직관적이며 읽기 쉬운 코드, 주석 제공을 통한 코드 의도의 명확성
- 기본적 오류 처리
  * 함수 반환 값 처리, Null 확인 등 오류 발생 가능성
※ 평가자: PL, CL2, CL3
※ 평가:도구: Github(Pull Request), cppcheck</t>
    <phoneticPr fontId="3" type="noConversion"/>
  </si>
  <si>
    <t>1. 프로젝트 수행
- Java, HTML, CSS, JavaScript 기본 문법 이해 및 활용
- 기본적인 백엔드 개념을 이해한 개발
- Git을 활용한 협업 및 버전 관리
- 단위 테스트의 필요성 이해 및 적용
- 다양한 Browser 환경 검증/테스트
2. 서비스 운영 및 협업
- 코드 리뷰 참여 및 피드백 수용
- 기본적인 오류를 스스로 해결하려는 자세
- 팀원간의 의사소통에 적극적인 자세
3. 자기개발
- 기존 소스 모듈별 분석
- 팀내 기술 세미나
- 필요 언어 및 프레임 워크 등 외부 교육 이수</t>
  </si>
  <si>
    <t>1. 프로젝트 수행.
- UI/UX 구현 및 이벤트 처리 능력
- 기본적인 네트워크에 대한 이해 능력
- Git을 활용한 코드 관리 능력
2. 협업 및 의사소통
- 객체지향 분석과 설계 교육
- 팀원 간 소통과 협업에 대한 태도
- 팀내 기술 세미나
3. 코드 및 결과 리뷰
- DI 적용 현황을 종합적으로 리뷰
- 팀 코드 리뷰 및 기술 공유 기여도 평가</t>
  </si>
  <si>
    <t xml:space="preserve">1. DB 구축, 운영 능력
- ERD 이해도 
- 논리적으로 최적화 된 SQL 문장 작성 능력
- RDBMS 백업, 복구 스크립트 작성 능력
- Linux OS Install
- Linux 기반 RDBMS (Oracle, Mysql, MariaDB) install
2. 데이터 수집,처리,가공 능력
- 다양한 정형 데이터 포멧에 대한 이해도
- 기본적인 파이선 프로그래밍 기술
3. 기술 능력 성장성 확인
- 기술 세미나 발표
- 기술 교육 이수
</t>
  </si>
  <si>
    <t>1. 프로젝트 수행
- 주어진 기능 구현의 정확성
- 기본적인 디버깅 및 오류 해결
- 단위 기능 테스트
※ 평가자: PL
2. 코드 리뷰
- 기본 문법
  * 들여쓰기, 괄호 등 기본 문법 오류
- 단순 오류 처리
  * 함수 반환 값 확인, Null 포인터 등 단순 오류 처리
- 기본적인 코드 스타일
  * 일관된 변수 명명 규칙, 주석 작성 등
- 딘위 함수 구현
  * 함수 내에서 작업을 환료할 수 있는 작은 범위의 코드 구현
※ 평가자: PL, CL2
※ 평가:도구: Github(Pull Request), cppcheck</t>
    <phoneticPr fontId="3" type="noConversion"/>
  </si>
  <si>
    <t>1. 프로젝트 수행.
- Window 기반 다양한 언어 대한 개발 대응 능력
- 기본적인 UI 구현 및 이벤트 처리 능력
2. 협업 및 의사소통
- 객체지향 분석과 설계 교육
- 팀원 간 소통과 협업에 대한 태도
- 팀내 기술 세미나
3. 코드 및 결과 리뷰
- DI 적용 현황을 종합적으로 리뷰
- 팀 코드 리뷰 및 기술 공유 기여도 평가</t>
  </si>
  <si>
    <t>개발언어</t>
    <phoneticPr fontId="3" type="noConversion"/>
  </si>
  <si>
    <t>Level 1: 초급 (Beginner/Trainee)</t>
    <phoneticPr fontId="3" type="noConversion"/>
  </si>
  <si>
    <t>Level 2: 초/중급 (Junior Developer)</t>
    <phoneticPr fontId="3" type="noConversion"/>
  </si>
  <si>
    <t>Level 3: 중급 (Intermediate Developer)</t>
    <phoneticPr fontId="3" type="noConversion"/>
  </si>
  <si>
    <t>Level 4: 고급 (Senior Developer)</t>
    <phoneticPr fontId="3" type="noConversion"/>
  </si>
  <si>
    <t>Level 5: 전문가 (Lead/Architect)</t>
    <phoneticPr fontId="3" type="noConversion"/>
  </si>
  <si>
    <t>Level 6: 최고 전문가 (Master/Distinguished Engineer)</t>
  </si>
  <si>
    <t>개발분야</t>
    <phoneticPr fontId="3" type="noConversion"/>
  </si>
  <si>
    <t>데이터베이스 기본 이해</t>
    <phoneticPr fontId="3" type="noConversion"/>
  </si>
  <si>
    <t>- 관계형 데이터베이스 개념 이해
- SQL 기본 문법 (SELECT, INSERT, UPDATE, DELETE)
- ERD 작성 및 정규화
- Oracle/MySQL/MariaDB 설치 및 설정
- Linux 기본 명령어
- 기본적인 DB 백업 및 복구 방법 숙지
- Shell Script 및 Python 기초</t>
    <phoneticPr fontId="3" type="noConversion"/>
  </si>
  <si>
    <t>습득/실무 기술 목록</t>
    <phoneticPr fontId="3" type="noConversion"/>
  </si>
  <si>
    <t>단일 DB 운용 경험</t>
    <phoneticPr fontId="3" type="noConversion"/>
  </si>
  <si>
    <t>다양한 DBMS 경험</t>
    <phoneticPr fontId="3" type="noConversion"/>
  </si>
  <si>
    <t>- Level 1 역량 포함
- RDBMS 사용자 계정 관리 및 권한 설정
- 간단한 SQL 튜닝 경험
- DBMS 모니터링 도구 기본 사용 (AWR, OEM 등)
- DBMS 물리 설계 실습
- RDBMS 클라이언트 도구 활용 (SQL Developer 등)
- 기본적인 보안 설정 이해</t>
    <phoneticPr fontId="3" type="noConversion"/>
  </si>
  <si>
    <t>- Level 2 역량 포함
- Oracle, MySQL, MariaDB, PostgreSQL 실무 경험
- 고급 SQL (Stored Procedure, Trigger, Function 등)
- 데이터베이스 백업 및 복구 전략 수립
- 기본적인 Redis, MongoDB 운용 경험
- 간단한 Kafka 설정 및 메시지 처리 이해
- Docker를 이용한 가상화 DB 구축
- 정형 데이터 수집(Python + pandas, Selenium 등)</t>
    <phoneticPr fontId="3" type="noConversion"/>
  </si>
  <si>
    <t>성능 관리 및 보안</t>
    <phoneticPr fontId="3" type="noConversion"/>
  </si>
  <si>
    <t>- Level 3 역량 포함
- SQL 성능 분석 및 인덱스 튜닝
- 분산 처리 환경 이해 (Sharding, Clustering)
- Redis Cluster, MongoDB ReplicaSet 구성
- ElasticSearch 인덱스 관리 및 쿼리 최적화
- Kafka 운영 및 메시지 파이프라인 설계
- InfluxDB 시간 기반 데이터 저장 운용
- 정형/비정형 데이터 가공 프레임워크 실무 적용</t>
    <phoneticPr fontId="3" type="noConversion"/>
  </si>
  <si>
    <t>대용량 시스템 설계</t>
    <phoneticPr fontId="3" type="noConversion"/>
  </si>
  <si>
    <t>- Level 4 역량 포함
- ClickHouse, ElasticSearch 기반 OLAP 시스템 구성
- 비정형 데이터 저장용 VectorDB (Chroma 등) 구성
- NoSQL (Json Query 등) 운용 최적화
- AI 기반 Embedding 모델과 VectorDB 연동 이해
- 데이터베이스 보안 정책 수립 (감사, 접근제어 등)
- 다양한 OS 환경에서 DB 운용 경험</t>
    <phoneticPr fontId="3" type="noConversion"/>
  </si>
  <si>
    <t>아키텍처 수준에서 설계 및 튜닝</t>
    <phoneticPr fontId="3" type="noConversion"/>
  </si>
  <si>
    <t>- Level 5 역량 포함
- 시스템 전체를 고려한 데이터 설계 및 튜닝
- 분산/클러스터 아키텍처 최적화 및 이중화 구성
- Kafka, Redis, MongoDB, ElasticSearch 등 연동된 빅데이터 파이프라인 설계 및 유지
- 다양한 DB 통합 운용 전략 수립
- 데이터 보안, 감사, 장애 복구 시나리오 수립
- 최신 AI, ML 기반 데이터 활용 전략 설계</t>
    <phoneticPr fontId="3" type="noConversion"/>
  </si>
  <si>
    <t>기술 역량 수준 설명</t>
    <phoneticPr fontId="3" type="noConversion"/>
  </si>
  <si>
    <t>C/C++ 기본 문법과 개발 도구 사용법, 간단한 콘솔 프로그램 작성과 기본 네트워크 개념 이해</t>
    <phoneticPr fontId="3" type="noConversion"/>
  </si>
  <si>
    <t>- C/C++ 기본 문법 (자료형, 포인터, 제어문)
- Python 및 Shell Script 기초 문법
- vi/vim 사용법 숙지
- Linux OS 설치 및 기본 명령어 사용
- 기본적인 socket programming (TCP/UDP)
- TCP/IP 네트워크 개념 이해
- Makefile 작성, GDB 사용법 기초
- 버전관리 시스템 사용 (Git, SVN 기본)</t>
    <phoneticPr fontId="3" type="noConversion"/>
  </si>
  <si>
    <t>기본적인 네트워크와 시스템 프로그래밍 구현 및 간단한 서버/클라이언트 구조 구현 가능</t>
    <phoneticPr fontId="3" type="noConversion"/>
  </si>
  <si>
    <t>- Level 1 역량 포함
- 간단한 Linux shell script 작성
- Client/Server socket 프로그램 작성
- 데이터 전송 및 응답 처리 구현
- Blocking/Non-blocking I/O 개념 이해 및 구현
- GNU Autotools, CMake 사용한 빌드 자동화
- 기본적인 자료구조, 알고리즘 이해 및 구현
- Hash function 및 Hash Table 이해
- Git workflow 이해</t>
    <phoneticPr fontId="3" type="noConversion"/>
  </si>
  <si>
    <t>- Level 2 역량 포함
- Multi-thread, Multi-process 프로그래밍
- Semaphore, Mutex를 이용한 동기화
- Embeded SQL, ODBC, OCI 등 DB 연동
- 패킷 분석 도구 (tcpdump, wireshark 등) 사용
- 동적 라이브러리 로딩/언로딩 구현 (dlopen 등)
- I/O Multiplexing (select, poll, epoll)
- CI/CD pipeline 구성 및 관리 기본
- 다양한 통신 프로토콜 이해 (HTTP, SMTP, SSL/TLS 등)</t>
    <phoneticPr fontId="3" type="noConversion"/>
  </si>
  <si>
    <t>- Level 3 역량 포함
- Python을 활용한 시스템 자동화 스크립트 구성
- 비동기 I/O 및 Event loop 기반 서버 구성
- Framework 활용 (Boost, Abseil 등)
- 고성능 네트워크 처리를 위한 구조 설계
- 메시지 큐/스택 설계 및 구현 (ZeroMQ, RabbitMQ 등)
- 보안 프로토콜 이해 및 간단한 암호화 구현
- 효율적인 CI/CD 파이프라인 구성 (Jenkins, GitHub Actions 등)</t>
    <phoneticPr fontId="3" type="noConversion"/>
  </si>
  <si>
    <t>- Level 4 역량 포함
- Asynchronous I/O 및 IO_uring 활용
- 고성능 서버를 위한 DPDK 기반 네트워크 프로그래밍
- 시스템 연동을 위한 인터페이스 및 프로토콜 설계/구현
- 시스템 리소스 최적화 및 병목 개선
- 보안 프로토콜 직접 구현 (TLS 핸드셰이크 포함)
- 대규모 분산 환경을 고려한 모듈 설계
- 다양한 운영체제 및 네트워크 상황 고려한 테스트</t>
    <phoneticPr fontId="3" type="noConversion"/>
  </si>
  <si>
    <t>- Level 5 역량 포함
- 복잡한 분산 시스템 설계 및 직접 구현
- 시스템 아키텍처 설계 및 최적화
- 고성능/고가용성 네트워크 시스템 구축
- DPDK 구조 커스터마이징 및 성능 분석
- 보안 취약점 대응 및 대응 전략 수립
- 시스템 프로그램 성능 분석 및 최적화
- 기업용 솔루션 수준의 제품 개발 주도 (리더 역할 수행)</t>
    <phoneticPr fontId="3" type="noConversion"/>
  </si>
  <si>
    <t>시스템/네트워크 프로그램을 독립적으로 개발하고, 멀티프로세스/멀티스레드 환경에서 개발 가능</t>
    <phoneticPr fontId="3" type="noConversion"/>
  </si>
  <si>
    <t>복잡한 시스템 설계 및 네트워크 구조를 구현하며, 안정적인 배포와 성능 향상을 고려한 개발이 가능</t>
    <phoneticPr fontId="3" type="noConversion"/>
  </si>
  <si>
    <t>대형 시스템 구조 설계 및 성능 최적화, 분산 환경에서의 문제 해결이 가능하고 다양한 플랫폼 및 프로토콜 연동 가능</t>
    <phoneticPr fontId="3" type="noConversion"/>
  </si>
  <si>
    <t>기술적인 결정권을 가지고 전체 아키텍처 설계, 고급 최적화, 플랫폼 레벨에서 문제 해결 가능</t>
    <phoneticPr fontId="3" type="noConversion"/>
  </si>
  <si>
    <t>웹 개발의 기초 구조를 이해하고 정적인 웹페이지를 작성할 수 있음</t>
    <phoneticPr fontId="3" type="noConversion"/>
  </si>
  <si>
    <t>- HTML5, CSS3 기초 태그 및 스타일링
- JavaScript 변수, 함수, 이벤트 기본 문법
- JSP, Servlet 기본 구조 이해
- Git/SVN 기본 명령어 (init, commit, push)
- Oracle/MariaDB 기본 쿼리 (SELECT, INSERT)
- Eclipse 또는 VS Code 환경 사용법 숙지</t>
    <phoneticPr fontId="3" type="noConversion"/>
  </si>
  <si>
    <t>동적 웹 구성 및 간단한 데이터 처리 가능</t>
    <phoneticPr fontId="3" type="noConversion"/>
  </si>
  <si>
    <t>- Level 1 역량 포함
- form 전송, DOM 조작, 간단한 이벤트 처리
- JSP와 Java 연동 기반 CRUD 기능 구현
- SQL: JOIN, GROUP BY, Subquery 작성
- 간단한 반응형 웹 페이지 작성 (media query)
- Spring MVC 구조 및 DispatcherServlet 흐름 이해
- Ajax 통한 비동기 통신 구현</t>
    <phoneticPr fontId="3" type="noConversion"/>
  </si>
  <si>
    <t>프론트와 백엔드를 연계한 기능 단위 서비스 개발 가능</t>
    <phoneticPr fontId="3" type="noConversion"/>
  </si>
  <si>
    <t>- Level 2 역량 포함
- Spring Boot 기반 RESTful API 서버 구현
- DTO, DAO, Service 계층 설계 및 구현
- OAuth 2.0, JWT 기반 인증 구조 설계 및 로그인 구현
- Thymeleaf 또는 JSP 활용한 뷰 템플릿 구성
- MariaDB 성능 고려한 인덱스 구성
- GitHub flow 기반 협업 경험
- 기본적인 CI/CD 파이프라인 구성 개념 이해</t>
    <phoneticPr fontId="3" type="noConversion"/>
  </si>
  <si>
    <t>트래픽을 고려한 서비스 구조 개선 및 인증/보안 적용 가능</t>
    <phoneticPr fontId="3" type="noConversion"/>
  </si>
  <si>
    <t>- Level 3 역량 포함
- WebSocket 기반 실시간 통신 처리
- Query 최적화 (인덱스/실행계획 분석)
- Message Queue (Kafka, RabbitMQ 등) 활용
- NoSQL(MongoDB, Redis 등) 병행 적용
- JUnit, Mockito를 이용한 테스트 코드 작성
- Spring Security 기반 Role/Authority 인증 구현
- MVC 패턴에 기반한 기능 단위 모듈화</t>
    <phoneticPr fontId="3" type="noConversion"/>
  </si>
  <si>
    <t>MSA 및 서비스 확장을 위한 구조 설계 및 운영 가능</t>
    <phoneticPr fontId="3" type="noConversion"/>
  </si>
  <si>
    <t>- Level 4 역량 포함
- Docker, Jenkins 기반 CI/CD 파이프라인 운영
- ELK Stack 기반 로그 수집/분석 시각화
- Spring Cloud, Eureka, Gateway 등 MSA 구성
- 모놀리식 → MSA 구조 전환 설계 가능
- 다중 쿼리 작성 및 DB 튜닝
- OAuth2.0 + JWT 연동 시스템 구성
- 운영중인 시스템 성능 모니터링 및 트러블슈팅</t>
    <phoneticPr fontId="3" type="noConversion"/>
  </si>
  <si>
    <t>대규모 웹 시스템 아키텍처 설계 및 보안 강화 전담 가능</t>
    <phoneticPr fontId="3" type="noConversion"/>
  </si>
  <si>
    <t>- Level 5 역량 포함
- 웹 인프라(WEB/WAS) 구성 최적화 (Tomcat, Nginx)
- Burp Suite를 통한 보안 점검 및 패치 수행
- sparrow 활용한 시큐어코딩 적용
- 시스템 전반 아키텍처 설계 및 DevOps 연계
- SLA 기반 모니터링/알림 시스템 설계
- 고가용성 및 이중화 구성 적용 (HAProxy, Redis Sentinel 등)
- 멀티노드 기반 백엔드 로드 밸런싱 설계</t>
    <phoneticPr fontId="3" type="noConversion"/>
  </si>
  <si>
    <t>언어 기초 및 기본 도구 사용 능력</t>
    <phoneticPr fontId="3" type="noConversion"/>
  </si>
  <si>
    <t>기본적인 GUI와 시스템 함수 사용</t>
    <phoneticPr fontId="3" type="noConversion"/>
  </si>
  <si>
    <t>멀티스레딩/프로세스, 시스템 연동 구현</t>
    <phoneticPr fontId="3" type="noConversion"/>
  </si>
  <si>
    <t>네트워크 보안, 고급 시스템 구성 가능</t>
    <phoneticPr fontId="3" type="noConversion"/>
  </si>
  <si>
    <t>복잡한 윈도우 시스템/네트워크 통합 개발 가능</t>
    <phoneticPr fontId="3" type="noConversion"/>
  </si>
  <si>
    <t>인프라 설계 및 대규모 솔루션 운영 가능</t>
    <phoneticPr fontId="3" type="noConversion"/>
  </si>
  <si>
    <t>- C, C++, Java, C#의 기본 문법 및 객체지향 개념
- 간단한 콘솔 프로그램, 입력/출력 처리
- Visual Studio 설치 및 사용법 익히기
- Git 기본 명령 (clone, commit, push)
- SQL 기초 (SELECT, INSERT, UPDATE)
- 간단한 윈도우 창 프로그램 개발 경험 (Form, MessageBox 등)</t>
    <phoneticPr fontId="3" type="noConversion"/>
  </si>
  <si>
    <t>- Level 1 역량 포함
- MFC/WinForm을 활용한 윈도우 프로그램 구성
- Java Swing, C# WinForm UI 이벤트 처리
- 파일 입출력, 시스템 정보 수집 API 사용
- TCP/UDP 기초 및 소켓 통신 구현
- DNS, DHCP, NAT, 포트 이해 등 기본 네트워크 지식
- PowerShell 기본 명령어 이해 및 사용
- Git 브랜치 관리 및 간단한 협업 경험</t>
    <phoneticPr fontId="3" type="noConversion"/>
  </si>
  <si>
    <t>- Level 2 역량 포함
- Multi-thread, Multi-process 설계 및 디버깅
- Windows API 기반 시스템 함수 활용 (레지스트리, 서비스)
- C#/.NET Framework을 활용한 API 통신 구현
- DB 연동 (ODBC, JDBC, ADO.NET)
- Active Directory 연동 로그인 처리
- Visual Studio 디버깅, Git 협업, TFS 경험
- 기본적인 Windows Server 설치 및 관리</t>
    <phoneticPr fontId="3" type="noConversion"/>
  </si>
  <si>
    <t>- Level 4 역량 포함
- Docker를 활용한 모듈별 배포 환경 구축
- Kubernetes 기본 구조 및 YAML 구성 관리
- CI/CD 파이프라인 구성 (Jenkins, GitLab CI 등)
- .NET Core 기반 윈도우 서비스 및 API 서버 개발
- 고급 SQL 튜닝 및 다중 쿼리 최적화
- PowerShell을 통한 시스템 자동화 스크립팅
- Hyper-V로 테스트 VM 환경 구성</t>
    <phoneticPr fontId="3" type="noConversion"/>
  </si>
  <si>
    <t>- Level 5 역량 포함
- Windows 클러스터링 및 Failover 설계
- Hyper-V 클러스터 및 고가용성 구성
- 시스템 보안 정책 수립, 네트워크 방화벽 설계
- 분산 시스템 설계 및 로드밸런싱 적용
- DevOps 파이프라인 최적화 및 보안 연동
- 조직 내 표준 플랫폼 설계 및 정책 문서화
- 대규모 서비스 운영 및 장애 복구 시나리오 구현</t>
    <phoneticPr fontId="3" type="noConversion"/>
  </si>
  <si>
    <t>머신러닝·딥러닝 기초 이해 및 데이터 처리</t>
    <phoneticPr fontId="3" type="noConversion"/>
  </si>
  <si>
    <t>- 지도학습/비지도학습 개념
- NumPy, Pandas, Matplotlib, Seaborn 기반 데이터 처리 및 시각화
- 간단한 ML 모델 (Logistic, SVM, KMeans 등) 구현
- Scikit-learn, TensorFlow/Keras, PyTorch 기초
- SQL 기본 문법, 데이터 조회/가공
- FastAPI/Flask 기초 API 서버 구현
- Git을 활용한 버전 관리</t>
    <phoneticPr fontId="3" type="noConversion"/>
  </si>
  <si>
    <t>단순한 모델 구현 및 MLOps 기초 활용</t>
    <phoneticPr fontId="3" type="noConversion"/>
  </si>
  <si>
    <t>- Level 1 역량 포함
- CNN/RNN 등 DL 기본 구조 구현 (TF/PyTorch)
- 데이터 수집 및 크롤링 (Selenium, API 활용)
- 모델 학습/검증 파이프라인 구축
- Quantization, Pruning, Distillation 등 경량화 개념 이해
- Docker, Kubernetes 기반 MLOps 기초 환경 설정
- 모델 서빙 프레임워크 사용 (TF Serving, TorchServe)</t>
    <phoneticPr fontId="3" type="noConversion"/>
  </si>
  <si>
    <t>다양한 AI 응용 구현 및 MLOps 운영 가능</t>
    <phoneticPr fontId="3" type="noConversion"/>
  </si>
  <si>
    <t>- Level 2 역량 포함
- Transformer 기반 모델 학습 및 파인튜닝 (BERT, GPT 계열)
- Autoencoder, GAN, Seq2Seq 모델 활용
- Vision 모델 (Object Detection, Segmentation)
- 기본 추천 시스템 구현 (TF-IDF, MF)
- 음성 인식/음향 분석 모델 이해
- Airflow 기반 간단한 학습 파이프라인 구성
- ONNX, TensorRT 등 서빙 최적화 경험</t>
    <phoneticPr fontId="3" type="noConversion"/>
  </si>
  <si>
    <t>멀티모달, Agent 기반 고급 AI 서비스 설계</t>
    <phoneticPr fontId="3" type="noConversion"/>
  </si>
  <si>
    <t>- Level 3 역량 포함
- 멀티모달 AI 구조 이해 (Representation Learning, Fusion 등)
- Cross-Attention 기반 구조 설계 및 활용
- LangChain, LangGraph 활용한 AI Agent 설계
- Firebase, Vector DB (FAISS, Milvus) + LangChain 기반 RAG 시스템 구현
- LLM 기반 추천 시스템 설계
- 모델 성능 모니터링/배포 자동화 (MLflow, WandB 등)</t>
    <phoneticPr fontId="3" type="noConversion"/>
  </si>
  <si>
    <t>고성능 AI 시스템 최적화 및 설계 주도</t>
    <phoneticPr fontId="3" type="noConversion"/>
  </si>
  <si>
    <t>- Level 4 역량 포함
- Efficient Transformers, Sparse Modeling, MoE 구조 활용
- LLM 경량화 (QLoRA, LoRA, PEFT 등)
- 온디바이스 AI 모델 최적화 및 배포
- gRPC, WebSocket 기반 실시간 AI API 개발
- Vector DB 인덱싱/쿼리 최적화
- 대규모 MLOps 파이프라인 설계 및 운영 (Airflow, K8s)</t>
    <phoneticPr fontId="3" type="noConversion"/>
  </si>
  <si>
    <t>고급 AI 시스템 설계 및 아키텍처 최적화 주도</t>
    <phoneticPr fontId="3" type="noConversion"/>
  </si>
  <si>
    <t>- Level 5 역량 포함
- 멀티 AI Agent, 멀티모달 AI 통합 아키텍처 설계
- 클라우드 기반 전체 파이프라인 설계 (GCP Vertex AI, SageMaker 등)
- 글로벌 규모 AI 모델 성능 최적화 및 서빙 튜닝
- Sparse Transformer, MoE 기반 LLM 확장 구조 설계
- 데이터 라벨링, 파이프라인 구성부터 운영까지 Full-Stack AI MLOps 설계
- AI 윤리, 보안, 데이터 거버넌스 고려한 정책 설계</t>
    <phoneticPr fontId="3" type="noConversion"/>
  </si>
  <si>
    <t>- Level 3 역량 포함
- VPN, 방화벽 설정, 포트 정책 관리
- Windows 서비스 및 백그라운드 프로세스 개발
- 윈도우 인증 및 암호화 API 사용
- Dynamic library 로딩, DLL injection 이해
- TCP/IP 포트 스캐닝 및 보안 분석
- 간단한 Docker 기반 테스트 환경 구성
- CI/CD 기본 이해 및 GitHub Actions/Jenkins 구성 실습</t>
    <phoneticPr fontId="3" type="noConversion"/>
  </si>
  <si>
    <t>Android 개발 환경과 기초 구조 이해</t>
    <phoneticPr fontId="3" type="noConversion"/>
  </si>
  <si>
    <t>- Android Studio 설치 및 사용법
- Kotlin 또는 Java의 기초 문법 숙지
- Activity, Fragment 개념 및 생명주기 이해
- XML 레이아웃 작성 및 간단한 UI 구성
- Gradle 프로젝트 구조 이해 및 간단한 의존성 추가
- 기본적인 SQLite 또는 Room DB 사용</t>
    <phoneticPr fontId="3" type="noConversion"/>
  </si>
  <si>
    <t>단일 모듈 앱을 구성하고 간단한 기능 구현 가능</t>
    <phoneticPr fontId="3" type="noConversion"/>
  </si>
  <si>
    <t>- Level 1 역량 포함
- Intent, Bundle, Navigation 활용
- Activity ↔ Fragment 전환 구현
- ViewModel, LiveData 등 Jetpack 기본 구성요소 사용
- 간단한 UI 이벤트 처리 (RecyclerView, Adapter 등)
- Firebase Authentication 및 Cloud Messaging 기초 활용
- Retrofit을 활용한 RESTful API 연동
- 기본적인 Gradle 설정 및 종속성 관리</t>
    <phoneticPr fontId="3" type="noConversion"/>
  </si>
  <si>
    <t>비동기 처리 및 모듈화 기반 구조 설계 가능</t>
    <phoneticPr fontId="3" type="noConversion"/>
  </si>
  <si>
    <t>- Level 2 역량 포함
- MVVM 구조에 기반한 아키텍처 구성
- Room, DataStore, Paging 등 Jetpack 고급 컴포넌트 활용
- RxJava 또는 Kotlin Coroutine으로 비동기 처리 구현
- Firebase Realtime DB, Crashlytics 활용
- DI(Dagger2 또는 Hilt) 기반 의존성 주입
- WebSocket, gRPC 등 실시간 네트워크 통신 활용
- 멀티 모듈 프로젝트 구조 이해 및 분리 설계</t>
    <phoneticPr fontId="3" type="noConversion"/>
  </si>
  <si>
    <t>아키텍처 최적화 및 성능/테스트 구현 가능</t>
    <phoneticPr fontId="3" type="noConversion"/>
  </si>
  <si>
    <t>- Level 3 역량 포함
- Clean Architecture 기반 계층적 코드 구성
- Background/Foreground 서비스 구성 및 최적화
- Jetpack Navigation, Lifecycle Observer, WorkManager 사용
- LeakCanary를 활용한 메모리 누수 탐지
- Espresso 및 UI 테스트 작성
- DI 범위, 모듈, 컴포넌트에 대한 설계 최적화
- 접근성 이벤트 활용 및 UI 접근성 설계 적용</t>
    <phoneticPr fontId="3" type="noConversion"/>
  </si>
  <si>
    <t>대규모 앱 구조 설계 및 성능 최적화 전담 가능</t>
    <phoneticPr fontId="3" type="noConversion"/>
  </si>
  <si>
    <t>- Level 4 역량 포함
- CI/CD 구성 이해 및 유지보수 (GitHub Actions, Firebase App Distribution 등)
- Gradle 고급 설정 (Custom task, 플러그인)
- 메모리/배터리 최적화 및 네이티브 코드 연동 (JNI)
- 앱 모듈별 의존성 및 빌드 시간 최적화
- 다국어/기기 대응을 위한 접근성 및 설정 분리 설계
- 테스트 커버리지 확보 및 Mock 기반 테스트 환경 구축</t>
    <phoneticPr fontId="3" type="noConversion"/>
  </si>
  <si>
    <t>전체 앱 아키텍처, 인프라, 운영을 리드 가능</t>
    <phoneticPr fontId="3" type="noConversion"/>
  </si>
  <si>
    <t>- Level 5 역량 포함
- Clean Architecture &amp; MVI 구조에 기반한 대규모 설계
- 앱 배포 및 운영 자동화 프로세스 설계 (CI/CD + DevOps 연계)
- Jetpack Compose 기반 UI 설계 및 DSL 활용
- 보안 설계 (OAuth2, JWT, 데이터 암호화)
- Firebase Functions, Hosting 등을 포함한 서버리스 백엔드 설계
- 사용자 흐름 분석 기반 UX 개선 및 접근성 기반 인터랙션 설계
- 모놀리식 구조 → 멀티 모듈 기반 리팩토링 주도</t>
    <phoneticPr fontId="3" type="noConversion"/>
  </si>
  <si>
    <t>기술진단시트 (데이터베이스)</t>
    <phoneticPr fontId="3" type="noConversion"/>
  </si>
  <si>
    <t>※ 본인평가 :
- 0점: 사용한 적 없음 / 개념 모름
- 1점: 개념은 알고 있으며 단순 구현 가능
- 2점: 실무에서 사용한 경험 있음
- 3점: 복잡한 상황에서도 적용 가능하고 팀원 지도 가능</t>
    <phoneticPr fontId="3" type="noConversion"/>
  </si>
  <si>
    <t>소속팀</t>
    <phoneticPr fontId="3" type="noConversion"/>
  </si>
  <si>
    <t>이름</t>
    <phoneticPr fontId="3" type="noConversion"/>
  </si>
  <si>
    <t>기술 항목</t>
  </si>
  <si>
    <t>상세 설명</t>
  </si>
  <si>
    <t>본인평가 (0~3점)</t>
    <phoneticPr fontId="3" type="noConversion"/>
  </si>
  <si>
    <t>데이터 수집 자동화</t>
  </si>
  <si>
    <t>합계</t>
    <phoneticPr fontId="3" type="noConversion"/>
  </si>
  <si>
    <t>관계형 데이터베이스 개념 이해</t>
  </si>
  <si>
    <t>SQL 기본 문법 활용</t>
  </si>
  <si>
    <t>SELECT, INSERT, UPDATE, DELETE를 포함한 기본 SQL 쿼리를 작성할 수 있다</t>
  </si>
  <si>
    <t>테이블, 관계, 키(key), 정규화 개념 등 RDBMS 기본 이론을 이해하고 설명할 수 있다</t>
  </si>
  <si>
    <t>ERD 작성 및 정규화</t>
  </si>
  <si>
    <t>요구사항에 따라 엔터티-관계 다이어그램(ERD)을 작성하고, 제1~3정규형으로 테이블을 정규화할 수 있다</t>
  </si>
  <si>
    <t>RDBMS 설치 및 설정 (Oracle/MySQL/MariaDB)</t>
  </si>
  <si>
    <t>데이터베이스 서버 설치, 사용자 계정 생성, 기본 설정을 수행할 수 있다</t>
  </si>
  <si>
    <t>Linux 기본 명령어 활용</t>
  </si>
  <si>
    <t>ls, cd, grep, chmod 등 주요 명령어 사용 및 파일 편집(vi, nano 등)이 가능하다</t>
  </si>
  <si>
    <t>DB 백업 및 복구</t>
  </si>
  <si>
    <t>mysqldump, pg_dump, exp/imp 등 도구를 이용한 데이터베이스 백업 및 복구 작업을 수행할 수 있다</t>
  </si>
  <si>
    <t>Shell Script 및 Python 활용</t>
  </si>
  <si>
    <t>간단한 스크립트를 통해 DB 자동화 작업을 하거나, Python으로 DB 연동 코드를 작성할 수 있다</t>
  </si>
  <si>
    <t>번호</t>
    <phoneticPr fontId="3" type="noConversion"/>
  </si>
  <si>
    <t>사용자 계정 관리 및 권한 설정</t>
  </si>
  <si>
    <t>사용자 계정을 생성하고, 권한을 적절히 부여/회수할 수 있는가</t>
  </si>
  <si>
    <t>SQL 성능 튜닝 경험</t>
  </si>
  <si>
    <t>실행계획(Execution Plan)을 분석하고 인덱스를 활용하는 등의 SQL 최적화 경험이 있는가</t>
  </si>
  <si>
    <t>DB 모니터링 도구 활용</t>
  </si>
  <si>
    <t>AWR, OEM, V$ 뷰 등을 이용해 데이터베이스 성능을 진단하거나 모니터링한 경험이 있는가</t>
  </si>
  <si>
    <t>물리 설계 경험</t>
  </si>
  <si>
    <t>논리 모델을 기반으로 파티셔닝, 인덱스 설계, 테이블스페이스 분리 등 물리 설계 작업을 수행한 경험이 있는가</t>
  </si>
  <si>
    <t>클라이언트 도구 활용</t>
  </si>
  <si>
    <t>SQL Developer, DBeaver 등 GUI 기반 툴을 사용해 SQL 작성, 테이블 구조 확인 등의 작업을 수행할 수 있는가</t>
  </si>
  <si>
    <t>기본 보안 설정 이해</t>
  </si>
  <si>
    <t>최소 권한 원칙, 접근제어, 암호 정책 설정 등 DB 보안의 기본 개념과 설정을 이해하고 적용할 수 있는가</t>
  </si>
  <si>
    <t>주요 RDBMS 실무 경험</t>
  </si>
  <si>
    <t>Oracle, MySQL, MariaDB, PostgreSQL 중 2개 이상을 실무에서 활용해 본 경험이 있는가</t>
  </si>
  <si>
    <t>고급 SQL 작성 능력</t>
  </si>
  <si>
    <t>Stored Procedure, Trigger, Function 등 복잡한 로직을 SQL로 구현할 수 있는가</t>
  </si>
  <si>
    <t>백업 및 복구 전략 수립</t>
  </si>
  <si>
    <t>시스템 장애나 데이터 손실을 대비한 백업 주기 설정, 복구 테스트 수행 경험이 있는가</t>
  </si>
  <si>
    <t>NoSQL 기본 운용 경험</t>
  </si>
  <si>
    <t>Redis, MongoDB 등 NoSQL 시스템을 이해하고 운영/조회/기본 설정이 가능한가</t>
  </si>
  <si>
    <t>Kafka 기반 메시지 처리 이해</t>
  </si>
  <si>
    <t>Kafka의 기본 개념, 프로듀서/컨슈머 구조를 이해하고 메시지 흐름을 구성할 수 있는가</t>
  </si>
  <si>
    <t>Docker 기반 DB 환경 구축</t>
  </si>
  <si>
    <t>Docker를 활용해 DB 컨테이너를 생성하고 네트워크/볼륨 설정을 통한 가상 환경을 구성할 수 있는가</t>
  </si>
  <si>
    <t>Python, pandas, Selenium 등을 활용해 웹 데이터나 정형 데이터를 수집 및 저장하는 스크립트를 작성할 수 있는가</t>
  </si>
  <si>
    <t>SQL 성능 분석 및 인덱스 튜닝</t>
  </si>
  <si>
    <t>실행계획(Execution Plan)을 기반으로 성능 병목을 찾고, 적절한 인덱스를 설계 및 적용할 수 있는가</t>
  </si>
  <si>
    <t>분산 처리 구조 이해</t>
  </si>
  <si>
    <t>Sharding, Clustering 등 수평·수직 확장 구조와 데이터 분산 저장의 개념을 이해하고 설명할 수 있는가</t>
  </si>
  <si>
    <t>Redis 및 MongoDB 클러스터 구성</t>
  </si>
  <si>
    <t>Redis Cluster 및 MongoDB ReplicaSet 구성과 장애 대응 설정을 실무에서 적용해본 경험이 있는가</t>
  </si>
  <si>
    <t>ElasticSearch 최적화</t>
  </si>
  <si>
    <t>인덱스 설계, 매핑 설정, 검색 성능 개선(쿼리 최적화 등)을 수행한 경험이 있는가</t>
  </si>
  <si>
    <t>Kafka 기반 메시지 파이프라인 운영</t>
  </si>
  <si>
    <t>Kafka 토픽 설계, 프로듀서/컨슈머 구성, 메시지 흐름을 모니터링하고 문제를 해결할 수 있는가</t>
  </si>
  <si>
    <t>InfluxDB 운용 경험</t>
  </si>
  <si>
    <t>시계열 데이터 특성에 맞는 스키마 설계 및 쿼리 작성, 성능 튜닝 경험이 있는가</t>
  </si>
  <si>
    <t>정형/비정형 데이터 가공 프레임워크 활용</t>
  </si>
  <si>
    <t>다양한 형태의 데이터를 수집·정제·저장하기 위해 ETL, 데이터 파이프라인, 가공 스크립트를 설계한 경험이 있는가</t>
  </si>
  <si>
    <t>ClickHouse / ElasticSearch 기반 OLAP 구성</t>
  </si>
  <si>
    <t>대용량 데이터 분석을 위한 OLAP 시스템을 ClickHouse 또는 ElasticSearch로 설계 및 운영해 본 경험이 있는가</t>
  </si>
  <si>
    <t>VectorDB 구성 및 연동</t>
  </si>
  <si>
    <t>Chroma 등 VectorDB를 구성하고, AI 모델의 임베딩 벡터와 연동해 검색 시스템을 구축해 본 경험이 있는가</t>
  </si>
  <si>
    <t>NoSQL 운용 최적화</t>
  </si>
  <si>
    <t>MongoDB, Redis 등의 NoSQL 시스템에서 JSON 쿼리 최적화 및 성능 튜닝을 수행한 경험이 있는가</t>
  </si>
  <si>
    <t>AI 임베딩 모델과 VectorDB 연동 이해</t>
  </si>
  <si>
    <t>텍스트/이미지 등 비정형 데이터를 임베딩하여 VectorDB에 저장하고 활용하는 구조를 이해하고 설명할 수 있는가</t>
  </si>
  <si>
    <t>DB 보안 정책 수립</t>
  </si>
  <si>
    <t>데이터베이스 접근제어, 감사 로그 설정, 암호화 등의 보안 정책을 직접 설계하고 적용한 경험이 있는가</t>
  </si>
  <si>
    <t>다양한 OS 환경에서의 DB 운영 경험</t>
  </si>
  <si>
    <t>Linux, Windows 등 다양한 운영체제에서 데이터베이스 설치 및 운영 경험이 있는가</t>
  </si>
  <si>
    <t>시스템 수준 데이터 설계 및 튜닝</t>
  </si>
  <si>
    <t>전체 시스템 구조와 트래픽 흐름을 고려한 데이터 모델링 및 성능 튜닝 전략을 수립하고 적용한 경험이 있는가</t>
  </si>
  <si>
    <t>분산/클러스터 아키텍처 운영</t>
  </si>
  <si>
    <t>고가용성을 위한 이중화 구성, 분산 DB 아키텍처(Sharding, Clustering 등)를 설계 및 운영한 경험이 있는가</t>
  </si>
  <si>
    <t>빅데이터 파이프라인 설계</t>
  </si>
  <si>
    <t>Kafka, Redis, MongoDB, ElasticSearch 등을 연동한 실시간 데이터 파이프라인을 설계하고 안정적으로 운영한 경험이 있는가</t>
  </si>
  <si>
    <t>DB 통합 전략 수립</t>
  </si>
  <si>
    <t>서로 다른 DBMS 환경을 통합 관리하거나, 데이터 연동 및 이관 전략을 수립하고 실행해 본 경험이 있는가</t>
  </si>
  <si>
    <t>보안 및 장애 대응 전략 설계</t>
  </si>
  <si>
    <t>감사, 접근제어, 백업/복구, 장애 발생 시 대응 시나리오를 문서화하고 실제 적용해 본 경험이 있는가</t>
  </si>
  <si>
    <t>AI/ML 기반 데이터 활용 전략</t>
  </si>
  <si>
    <t>AI 모델 학습 및 서빙을 위한 데이터 처리 전략(ETL, 피처 엔지니어링 등)을 설계하고, MLOps와 연계해본 경험이 있는가</t>
  </si>
  <si>
    <t>기술진단시트 (차단엔진및오피스가드)</t>
    <phoneticPr fontId="3" type="noConversion"/>
  </si>
  <si>
    <t>C/C++ 기본 문법 숙련도</t>
  </si>
  <si>
    <t>자료형, 포인터, 제어문 등 C/C++ 기본 문법을 이해하고 오류 없이 작성할 수 있는가</t>
  </si>
  <si>
    <t>Python 및 Shell Script 기초</t>
  </si>
  <si>
    <t>반복문, 조건문, 함수 등 기본 문법을 활용해 간단한 자동화 코드를 작성할 수 있는가</t>
  </si>
  <si>
    <t>vi/vim 편집기 활용</t>
  </si>
  <si>
    <t>Linux 환경에서 vi 또는 vim을 활용해 파일 편집, 복사/붙여넣기, 검색 등 기본 작업을 수행할 수 있는가</t>
  </si>
  <si>
    <t>Linux OS 이해 및 명령어 사용</t>
  </si>
  <si>
    <t>Linux 기반 시스템 설치 경험이 있으며, 파일/디렉토리 조작, 프로세스 관리, 권한 설정 등 기본 명령어를 사용할 수 있는가</t>
  </si>
  <si>
    <t>기본 socket programming 구현</t>
  </si>
  <si>
    <t>C 또는 Python으로 TCP/UDP 소켓을 생성하고, 서버-클라이언트 통신을 구현할 수 있는가</t>
  </si>
  <si>
    <t>TCP/IP 네트워크 기초 이해</t>
  </si>
  <si>
    <t>포트, IP, DNS, 패킷 구조 등 네트워크 기본 개념을 이해하고 설명할 수 있는가</t>
  </si>
  <si>
    <t>Makefile 및 GDB 활용</t>
  </si>
  <si>
    <t>Makefile을 작성하여 빌드 자동화를 하고, GDB를 이용한 기본적인 디버깅이 가능한가</t>
  </si>
  <si>
    <t>버전관리 시스템(Git/SVN) 사용</t>
  </si>
  <si>
    <t>Git 또는 SVN을 사용해 코드 커밋, 브랜치 관리, 히스토리 확인 등의 기본 작업을 수행할 수 있는가</t>
  </si>
  <si>
    <t>Shell Script 작성 능력</t>
  </si>
  <si>
    <t>Linux 환경에서 조건문, 반복문, 파일 처리 등을 포함한 간단한 shell script를 작성할 수 있는가</t>
  </si>
  <si>
    <t>Client/Server 소켓 프로그래밍 구현</t>
  </si>
  <si>
    <t>C/C++ 또는 Python을 이용해 TCP/UDP 기반의 소켓 서버-클라이언트 구조를 구현할 수 있는가</t>
  </si>
  <si>
    <t>데이터 전송 및 응답 처리 구현</t>
  </si>
  <si>
    <t>네트워크를 통해 데이터를 송수신하고, 요청/응답 흐름을 정확히 처리할 수 있는가</t>
  </si>
  <si>
    <t>Blocking/Non-blocking I/O 처리</t>
  </si>
  <si>
    <t>select, poll, epoll 또는 non-blocking socket을 활용해 입출력 제어를 구현해 본 경험이 있는가</t>
  </si>
  <si>
    <t>빌드 자동화 도구 활용</t>
  </si>
  <si>
    <t>GNU Autotools, CMake 등을 이용해 복잡한 프로젝트의 빌드 환경을 구성하고 유지할 수 있는가</t>
  </si>
  <si>
    <t>자료구조 및 알고리즘 구현 능력</t>
  </si>
  <si>
    <t>배열, 리스트, 스택, 큐 등의 자료구조와 정렬, 탐색 알고리즘 등을 직접 구현하고 응용할 수 있는가</t>
  </si>
  <si>
    <t>해시 함수 및 해시 테이블 구현</t>
  </si>
  <si>
    <t>해시 함수의 원리를 이해하고, 해시 테이블을 직접 구현하거나 활용할 수 있는가</t>
  </si>
  <si>
    <t>Git Workflow 이해 및 활용</t>
  </si>
  <si>
    <t>Git의 브랜치 전략(feature, develop, main 등) 및 pull request, merge 등의 작업 흐름을 이해하고 사용하는가</t>
  </si>
  <si>
    <t>멀티스레드/멀티프로세스 프로그래밍</t>
  </si>
  <si>
    <t>pthread, fork 등으로 병렬 처리 구조를 설계하고, 자원 공유 문제를 해결할 수 있는가</t>
  </si>
  <si>
    <t>동기화 기법 구현 (Semaphore, Mutex)</t>
  </si>
  <si>
    <t>경쟁 조건을 방지하기 위해 뮤텍스, 세마포어 등을 이용한 임계영역 보호를 구현해 본 경험이 있는가</t>
  </si>
  <si>
    <t>데이터베이스 연동 프로그래밍</t>
  </si>
  <si>
    <t>C/C++ 또는 Python에서 Embeded SQL, ODBC, OCI 등을 이용한 데이터베이스 연동 프로그래밍이 가능한가</t>
  </si>
  <si>
    <t>패킷 분석 도구 활용</t>
  </si>
  <si>
    <t>tcpdump, Wireshark 등의 도구를 이용하여 네트워크 트래픽을 캡처하고 분석할 수 있는가</t>
  </si>
  <si>
    <t>동적 라이브러리 로딩 구현</t>
  </si>
  <si>
    <r>
      <t>dlopen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dlsym</t>
    </r>
    <r>
      <rPr>
        <sz val="11"/>
        <color theme="1"/>
        <rFont val="맑은 고딕"/>
        <family val="2"/>
        <charset val="129"/>
        <scheme val="minor"/>
      </rPr>
      <t xml:space="preserve"> 등을 사용하여 런타임 중 라이브러리를 로딩/언로딩 하는 기능을 구현해 본 경험이 있는가</t>
    </r>
  </si>
  <si>
    <t>I/O Multiplexing 구현</t>
  </si>
  <si>
    <r>
      <t>select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poll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epoll</t>
    </r>
    <r>
      <rPr>
        <sz val="11"/>
        <color theme="1"/>
        <rFont val="맑은 고딕"/>
        <family val="2"/>
        <charset val="129"/>
        <scheme val="minor"/>
      </rPr>
      <t xml:space="preserve"> 등을 이용하여 하나의 프로세스가 여러 클라이언트의 I/O를 동시에 처리할 수 있는가</t>
    </r>
  </si>
  <si>
    <t>CI/CD 파이프라인 구성</t>
  </si>
  <si>
    <t>GitHub Actions, Jenkins, GitLab CI 등을 활용하여 자동 빌드 및 배포 파이프라인을 구성해 본 경험이 있는가</t>
  </si>
  <si>
    <t>네트워크 프로토콜 이해</t>
  </si>
  <si>
    <t>HTTP, SMTP, SSL/TLS 등 주요 통신 프로토콜의 동작 원리를 이해하고 설명할 수 있는가</t>
  </si>
  <si>
    <t>Python 기반 시스템 자동화</t>
  </si>
  <si>
    <t>Python을 활용하여 시스템 관리, 로그 분석, 배치 처리 등을 자동화하는 스크립트를 작성할 수 있는가</t>
  </si>
  <si>
    <t>비동기 서버 및 이벤트 루프 구현</t>
  </si>
  <si>
    <t>asyncio, libuv 등 비동기 I/O 기반 서버를 구성하고 이벤트 루프를 설계할 수 있는가</t>
  </si>
  <si>
    <t>시스템 프로그래밍 프레임워크 활용</t>
  </si>
  <si>
    <t>Boost, Abseil 등 고급 프레임워크를 사용하여 성능 개선 또는 코드 구조화 경험이 있는가</t>
  </si>
  <si>
    <t>고성능 네트워크 구조 설계</t>
  </si>
  <si>
    <t>대용량 연결, 낮은 레이턴시 처리를 고려한 네트워크 아키텍처(예: Reactor, Proactor 패턴 등)를 설계할 수 있는가</t>
  </si>
  <si>
    <t>메시지 큐 시스템 설계 및 사용</t>
  </si>
  <si>
    <t>ZeroMQ, RabbitMQ 등 큐 기반 메시지 시스템을 활용하여 서비스 간 비동기 통신을 설계하고 구현할 수 있는가</t>
  </si>
  <si>
    <t>보안 프로토콜 및 암호화</t>
  </si>
  <si>
    <t>SSL/TLS, AES 등의 기본 개념을 이해하고 간단한 암호화 및 복호화 구현을 할 수 있는가</t>
  </si>
  <si>
    <t>효율적인 CI/CD 파이프라인 설계</t>
  </si>
  <si>
    <t>Jenkins, GitHub Actions 등을 활용하여 테스트, 빌드, 배포가 자동으로 이뤄지는 워크플로우를 설계/유지한 경험이 있는가</t>
  </si>
  <si>
    <t>Asynchronous I/O 및 IO_uring 활용</t>
  </si>
  <si>
    <t>비동기 I/O 처리 구조 및 최신 커널 기반 I/O 프레임워크(IO_uring)의 원리와 적용 방법을 이해하고 활용할 수 있는가</t>
  </si>
  <si>
    <t>DPDK 기반 고성능 네트워크 프로그래밍</t>
  </si>
  <si>
    <t>커널 우회 방식의 패킷 처리 프레임워크인 DPDK를 활용해 고속 패킷 입출력 처리를 구현해 본 경험이 있는가</t>
  </si>
  <si>
    <t>시스템 연동 인터페이스 및 프로토콜 설계</t>
  </si>
  <si>
    <t>다양한 시스템 간 통신을 위한 커스텀 인터페이스 또는 프로토콜(예: 바이너리/텍스트 기반)을 설계하고 구현한 경험이 있는가</t>
  </si>
  <si>
    <t>시스템 자원 최적화 및 병목 해결</t>
  </si>
  <si>
    <t>CPU, 메모리, I/O, 네트워크 등의 사용률을 분석하고 병목 원인을 파악하여 개선한 경험이 있는가</t>
  </si>
  <si>
    <t>보안 프로토콜 직접 구현 경험</t>
  </si>
  <si>
    <t>TLS 핸드셰이크, 대칭/비대칭 키 암호화 등 보안 프로토콜을 직접 구현하거나 구조를 분석한 경험이 있는가</t>
  </si>
  <si>
    <t>분산 환경을 고려한 모듈 설계</t>
  </si>
  <si>
    <t>대규모 분산 시스템의 특성을 고려하여 모듈 간 의존성, 장애 대응, 데이터 일관성을 설계한 경험이 있는가</t>
  </si>
  <si>
    <t>OS/네트워크 환경별 테스트 수행</t>
  </si>
  <si>
    <t>다양한 운영체제(Linux, BSD 등) 및 네트워크 조건(지연, 패킷 손실 등)을 고려하여 테스트 환경을 구성하고 검증한 경험이 있는가</t>
  </si>
  <si>
    <t>분산 시스템 설계 및 구현</t>
  </si>
  <si>
    <t>복잡한 분산 시스템의 구조, 통신 방식, 장애 대응, 일관성 보장 등을 고려한 설계를 직접 수행하고 구현한 경험이 있는가</t>
  </si>
  <si>
    <t>시스템 아키텍처 최적화</t>
  </si>
  <si>
    <t>전체 시스템의 구성요소를 정의하고, 성능/안정성/유지보수성을 고려해 아키텍처를 설계 및 개선한 경험이 있는가</t>
  </si>
  <si>
    <t>고성능 네트워크 시스템 구축</t>
  </si>
  <si>
    <t>수천~수만 연결을 처리할 수 있는 고성능 및 고가용성 네트워크 인프라를 설계하고 운영한 경험이 있는가</t>
  </si>
  <si>
    <t>DPDK 성능 분석 및 구조 커스터마이징</t>
  </si>
  <si>
    <t>DPDK 기반 프레임워크의 내부 구조를 이해하고, 필요에 따라 커스터마이징 및 성능 튜닝을 수행해 본 경험이 있는가</t>
  </si>
  <si>
    <t>보안 취약점 대응 전략 수립</t>
  </si>
  <si>
    <t>시스템의 보안 취약점을 식별하고, 패치, 우회 방안, 모니터링 체계 등 전반적인 보안 대응 전략을 수립한 경험이 있는가</t>
  </si>
  <si>
    <t>시스템 성능 분석 및 최적화</t>
  </si>
  <si>
    <t>프로파일링 도구 및 리소스 분석 기법을 통해 시스템 병목을 분석하고, 이를 해결해 성능을 향상시킨 경험이 있는가</t>
  </si>
  <si>
    <t>제품 개발 리더십 경험</t>
  </si>
  <si>
    <t>기업용 또는 상용 솔루션 수준의 제품을 개발하며 전체 프로젝트를 주도하거나 팀을 이끌어본 경험이 있는가</t>
  </si>
  <si>
    <t>HTML5 / CSS3 기본 이해</t>
  </si>
  <si>
    <t>웹 페이지를 구성하는 HTML 태그와 CSS 스타일을 작성할 수 있는가 (div, class, flex 등 포함)</t>
  </si>
  <si>
    <t>JavaScript 기본 문법 활용</t>
  </si>
  <si>
    <t>변수 선언, 함수 정의, 이벤트 처리 등 JS의 핵심 개념을 이해하고 사용할 수 있는가</t>
  </si>
  <si>
    <t>JSP / Servlet 구조 이해</t>
  </si>
  <si>
    <t>웹 서버 기반의 동적 페이지 처리를 위한 JSP, Servlet의 기본 작동 원리를 이해하고 간단한 예제를 구현할 수 있는가</t>
  </si>
  <si>
    <t>Git / SVN 기본 명령어 사용</t>
  </si>
  <si>
    <r>
      <t>init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push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checkout</t>
    </r>
    <r>
      <rPr>
        <sz val="11"/>
        <color theme="1"/>
        <rFont val="맑은 고딕"/>
        <family val="2"/>
        <charset val="129"/>
        <scheme val="minor"/>
      </rPr>
      <t xml:space="preserve"> 등의 기본 명령어를 사용해 버전 관리를 할 수 있는가</t>
    </r>
  </si>
  <si>
    <t>Oracle / MariaDB 기본 쿼리 작성</t>
  </si>
  <si>
    <t>SELECT, INSERT, UPDATE, DELETE 등 CRUD 중심의 SQL 문을 작성하고 실행할 수 있는가</t>
  </si>
  <si>
    <t>개발환경 도구 사용 (Eclipse/VS Code)</t>
  </si>
  <si>
    <t>Eclipse 또는 Visual Studio Code를 설치하고, 프로젝트 생성/파일 관리/디버깅 등의 기본 사용법을 숙지했는가</t>
  </si>
  <si>
    <t>폼 전송 및 DOM 조작, 이벤트 처리</t>
  </si>
  <si>
    <t>HTML 폼 데이터 전송, JavaScript로 DOM 요소를 조작하고 클릭/입력 등의 이벤트를 처리할 수 있는가</t>
  </si>
  <si>
    <t>JSP + Java 기반 CRUD 구현</t>
  </si>
  <si>
    <t>JSP와 Java 서블릿 혹은 백엔드 로직을 연결하여 기본적인 데이터 입력/수정/조회/삭제 기능을 구현할 수 있는가</t>
  </si>
  <si>
    <t>SQL 고급 문법 활용</t>
  </si>
  <si>
    <t>JOIN, GROUP BY, Subquery 등을 활용하여 복잡한 데이터 조회 쿼리를 작성할 수 있는가</t>
  </si>
  <si>
    <t>반응형 웹 페이지 작성</t>
  </si>
  <si>
    <t>CSS Media Query를 사용하여 해상도에 따라 웹 페이지 레이아웃을 조정할 수 있는가</t>
  </si>
  <si>
    <t>Spring MVC 구조 이해</t>
  </si>
  <si>
    <t>Spring MVC의 Controller, Service, DAO 구조와 DispatcherServlet의 요청 흐름을 이해하고 설명할 수 있는가</t>
  </si>
  <si>
    <t>Ajax 비동기 통신 구현</t>
  </si>
  <si>
    <t>XMLHttpRequest 또는 fetch API, jQuery 등을 활용하여 서버와 비동기 통신을 구현할 수 있는가</t>
  </si>
  <si>
    <t>RESTful API 서버 구현 (Spring Boot)</t>
  </si>
  <si>
    <t>Spring Boot를 사용해 RESTful API 엔드포인트를 정의하고 컨트롤러, 예외 처리 등을 포함한 서버를 구축할 수 있는가</t>
  </si>
  <si>
    <t>DTO/DAO/Service 계층 설계</t>
  </si>
  <si>
    <t>역할에 따라 DTO, DAO, Service 계층을 나누고 책임 분리 원칙을 적용해 로직을 구성할 수 있는가</t>
  </si>
  <si>
    <t>인증/인가 시스템 구현 (OAuth2.0, JWT)</t>
  </si>
  <si>
    <t>OAuth 2.0 또는 JWT를 활용해 인증/인가 로직을 설계하고, 토큰 기반 로그인 기능을 구현한 경험이 있는가</t>
  </si>
  <si>
    <t>뷰 템플릿 구성 (Thymeleaf, JSP)</t>
  </si>
  <si>
    <t>서버 사이드 렌더링을 위한 템플릿(Thymeleaf 또는 JSP)을 활용하여 사용자 인터페이스를 구성할 수 있는가</t>
  </si>
  <si>
    <t>MariaDB 인덱스 설계</t>
  </si>
  <si>
    <t>쿼리 성능을 높이기 위해 WHERE, JOIN 등에 맞는 적절한 인덱스를 설계하고 적용한 경험이 있는가</t>
  </si>
  <si>
    <t>GitHub Flow 기반 협업 경험</t>
  </si>
  <si>
    <t>브랜치 전략, PR, 코드 리뷰, conflict 해결 등 GitHub Flow를 기반으로 팀 협업을 경험해 본 적이 있는가</t>
  </si>
  <si>
    <t>CI/CD 파이프라인 구성 이해</t>
  </si>
  <si>
    <t>Jenkins, GitHub Actions 등 도구를 이용해 빌드/테스트/배포 자동화를 설계하거나 운영해본 경험이 있는가</t>
  </si>
  <si>
    <t>WebSocket 기반 실시간 통신 처리</t>
  </si>
  <si>
    <t>WebSocket 또는 STOMP를 활용하여 실시간 알림/채팅 등의 기능을 구현한 경험이 있는가</t>
  </si>
  <si>
    <t>SQL 쿼리 최적화</t>
  </si>
  <si>
    <t>실행계획(Explain Plan)을 분석하고, 적절한 인덱스를 통해 쿼리 성능을 향상시킨 경험이 있는가</t>
  </si>
  <si>
    <t>메시지 큐 시스템 활용</t>
  </si>
  <si>
    <t>Kafka, RabbitMQ 등 MQ 시스템을 도입하여 비동기 처리 또는 마이크로서비스 간 통신을 구현해 본 경험이 있는가</t>
  </si>
  <si>
    <t>NoSQL 적용 경험</t>
  </si>
  <si>
    <t>MongoDB, Redis 등의 NoSQL을 RDBMS와 병행하거나 적절한 상황에 맞게 선택하여 사용해 본 경험이 있는가</t>
  </si>
  <si>
    <t>테스트 코드 작성</t>
  </si>
  <si>
    <t>JUnit, Mockito 등을 활용해 단위 테스트 및 Mock 기반 테스트를 작성하고 유지한 경험이 있는가</t>
  </si>
  <si>
    <t>Spring Security 기반 인증/인가</t>
  </si>
  <si>
    <t>사용자 권한(Role), 접근제어(Authority)를 설정하고, 로그인/보안 흐름을 Spring Security로 구현한 경험이 있는가</t>
  </si>
  <si>
    <t>기능 단위 모듈화 (MVC 구조)</t>
  </si>
  <si>
    <t>Controller, Service, Repository 등 기능별로 역할을 나누어 관리하는 MVC 패턴을 실무에 적용하고 유지보수해 본 경험이 있는가</t>
  </si>
  <si>
    <t>CI/CD 파이프라인 운영 (Docker + Jenkins)</t>
  </si>
  <si>
    <t>Docker와 Jenkins를 활용해 애플리케이션의 빌드, 테스트, 배포를 자동화한 경험이 있는가</t>
  </si>
  <si>
    <t>로그 수집 및 시각화 (ELK Stack)</t>
  </si>
  <si>
    <t>Elasticsearch, Logstash, Kibana를 이용해 시스템 로그를 수집, 분석하고 대시보드 형태로 시각화해 본 경험이 있는가</t>
  </si>
  <si>
    <t>MSA 기반 아키텍처 구성</t>
  </si>
  <si>
    <t>Spring Cloud, Eureka, API Gateway, Config Server 등을 이용해 마이크로서비스 구조를 설계하고 운영해 본 경험이 있는가</t>
  </si>
  <si>
    <t>모놀리식 → MSA 전환 설계</t>
  </si>
  <si>
    <t>기존 단일 애플리케이션을 MSA로 전환하는 과정을 설계하고, 데이터 분리, 인증 방식 변경 등을 수행한 경험이 있는가</t>
  </si>
  <si>
    <t>고급 SQL 작성 및 DB 튜닝</t>
  </si>
  <si>
    <t>복잡한 다중 쿼리, 서브쿼리 작성 및 실행계획 분석을 통한 인덱스 설계와 성능 최적화를 수행한 경험이 있는가</t>
  </si>
  <si>
    <t>OAuth2.0 + JWT 인증 시스템 구현</t>
  </si>
  <si>
    <t>외부 인증(OAuth2.0)과 JWT 기반 인가 시스템을 통합해 로그인, 토큰 발급/검증을 구현한 경험이 있는가</t>
  </si>
  <si>
    <t>시스템 모니터링 및 트러블슈팅</t>
  </si>
  <si>
    <t>운영 중인 시스템의 성능 상태를 모니터링하고, 장애나 비정상 상태 발생 시 원인을 분석하여 조치한 경험이 있는가</t>
  </si>
  <si>
    <t>웹 인프라 최적화 구성 (Tomcat/Nginx)</t>
  </si>
  <si>
    <t>Tomcat, Nginx를 활용한 웹/워스(WEB/WAS) 인프라 구성 및 성능 최적화 경험이 있는가</t>
  </si>
  <si>
    <t>보안 점검 및 시큐어코딩 적용</t>
  </si>
  <si>
    <t>Burp Suite로 웹 보안 취약점을 점검하고, Sparrow와 같은 도구를 활용해 시큐어코딩을 적용해본 경험이 있는가</t>
  </si>
  <si>
    <t>시스템 아키텍처 및 DevOps 연계 설계</t>
  </si>
  <si>
    <t>전체 시스템 아키텍처를 설계하고, CI/CD 및 모니터링 연계 등 DevOps 파이프라인과 통합해 운영한 경험이 있는가</t>
  </si>
  <si>
    <t>SLA 기반 모니터링 시스템 구성</t>
  </si>
  <si>
    <t>서비스 수준 목표(SLA)에 기반한 시스템 모니터링 지표를 설계하고, 알림/자동 대응 체계를 구축한 경험이 있는가</t>
  </si>
  <si>
    <t>고가용성 및 이중화 구성</t>
  </si>
  <si>
    <t>HAProxy, Redis Sentinel 등 고가용성(HA)을 고려한 구성 설계 및 장애 대응 이중화 설정을 구현한 경험이 있는가</t>
  </si>
  <si>
    <t>멀티노드 백엔드 로드밸런싱</t>
  </si>
  <si>
    <t>여러 백엔드 서버에 대해 로드밸런싱 전략을 설계하고, 실제 운영 환경에 적용해본 경험이 있는가</t>
  </si>
  <si>
    <t>기술진단시트 (WEB)</t>
    <phoneticPr fontId="3" type="noConversion"/>
  </si>
  <si>
    <t>기술진단시트 (Windows)</t>
    <phoneticPr fontId="3" type="noConversion"/>
  </si>
  <si>
    <t>기본 문법 및 객체지향 이해 (C/C++/Java/C#)</t>
  </si>
  <si>
    <t>주요 언어의 변수, 조건문, 반복문 등 기본 문법과 클래스/상속/다형성 등 객체지향 개념을 이해하고 활용할 수 있는가</t>
  </si>
  <si>
    <t>콘솔 프로그램 및 입출력 처리</t>
  </si>
  <si>
    <t>콘솔 기반으로 사용자 입력을 받고 결과를 출력하는 간단한 프로그램을 작성할 수 있는가</t>
  </si>
  <si>
    <t>Visual Studio 사용 경험</t>
  </si>
  <si>
    <t>Visual Studio를 설치하고, 솔루션/프로젝트 생성, 빌드, 디버깅 등 기본 기능을 사용할 수 있는가</t>
  </si>
  <si>
    <t>Git 기본 명령어 사용</t>
  </si>
  <si>
    <r>
      <t>clone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push</t>
    </r>
    <r>
      <rPr>
        <sz val="11"/>
        <color theme="1"/>
        <rFont val="맑은 고딕"/>
        <family val="2"/>
        <charset val="129"/>
        <scheme val="minor"/>
      </rPr>
      <t xml:space="preserve"> 등 기본적인 Git 명령어를 사용해 소스 코드를 관리해 본 경험이 있는가</t>
    </r>
  </si>
  <si>
    <t>SQL 기본 문법 이해</t>
  </si>
  <si>
    <t>SELECT, INSERT, UPDATE와 같은 기본적인 데이터베이스 쿼리를 작성하고 결과를 해석할 수 있는가</t>
  </si>
  <si>
    <t>간단한 윈도우 GUI 프로그램 구현</t>
  </si>
  <si>
    <t>C#, Win32 API 또는 MFC 등을 활용해 폼 생성, 버튼 클릭, 메시지박스 출력 등 기본적인 GUI 프로그램을 작성한 경험이 있는가</t>
  </si>
  <si>
    <t>MFC / WinForm / Swing UI 구성 및 이벤트 처리</t>
  </si>
  <si>
    <t>C++, C#, Java 환경에서 버튼, 입력창 등의 UI 구성과 클릭, 입력 이벤트 처리를 구현한 경험이 있는가</t>
  </si>
  <si>
    <t>파일 입출력 및 시스템 API 활용</t>
  </si>
  <si>
    <t>파일 저장/읽기 및 운영체제 정보 조회 등의 시스템 API를 사용한 경험이 있는가</t>
  </si>
  <si>
    <t>TCP/UDP 및 소켓 통신 구현</t>
  </si>
  <si>
    <t>기본적인 네트워크 프로그래밍(TCP/UDP 소켓 서버-클라이언트 통신)을 구현한 경험이 있는가</t>
  </si>
  <si>
    <t>네트워크 기본 개념 이해</t>
  </si>
  <si>
    <t>DNS, DHCP, NAT, 포트 개념 등을 이해하고, 실제 응용 프로그램과의 연관성을 설명할 수 있는가</t>
  </si>
  <si>
    <t>PowerShell 기본 명령어 사용</t>
  </si>
  <si>
    <t>파일 관리, 서비스 조회 등 PowerShell을 이용한 간단한 시스템 제어 명령어를 사용할 수 있는가</t>
  </si>
  <si>
    <t>Git 브랜치 관리 및 협업 경험</t>
  </si>
  <si>
    <t>Git을 활용한 브랜치 생성, 병합, 충돌 해결, Pull Request 기반 협업 경험이 있는가</t>
  </si>
  <si>
    <t>멀티스레드 / 멀티프로세스 설계 및 디버깅</t>
  </si>
  <si>
    <t>동시성 처리를 위해 멀티스레드 또는 멀티프로세스 구조를 설계하고, 디버깅 도구를 통해 문제를 해결해본 경험이 있는가</t>
  </si>
  <si>
    <t>Windows API 활용 (레지스트리, 서비스 등)</t>
  </si>
  <si>
    <t>WinAPI를 이용해 레지스트리 읽기/쓰기, 윈도우 서비스 등록/제어 등을 구현한 경험이 있는가</t>
  </si>
  <si>
    <t>C# / .NET 기반 API 통신 구현</t>
  </si>
  <si>
    <t>HTTP, RESTful API, WebClient/HttpClient 등을 이용해 외부 서버와 통신 기능을 구현한 경험이 있는가</t>
  </si>
  <si>
    <t>ODBC, JDBC, ADO.NET 등을 활용하여 데이터 조회/입력 기능을 포함한 DB 연동 프로그램을 개발한 경험이 있는가</t>
  </si>
  <si>
    <t>Active Directory 기반 인증 처리</t>
  </si>
  <si>
    <t>Windows 환경에서 사용자 인증을 위해 AD 연동 로그인 기능을 구현해본 경험이 있는가</t>
  </si>
  <si>
    <t>Visual Studio / Git / TFS 활용 경험</t>
  </si>
  <si>
    <t>Visual Studio를 활용한 프로젝트 관리, Git을 통한 협업, 또는 TFS를 이용한 소스 제어 경험이 있는가</t>
  </si>
  <si>
    <t>Windows Server 설치 및 기본 운영</t>
  </si>
  <si>
    <t>Windows Server를 직접 설치하고, 사용자/서비스/방화벽 설정 등 기본적인 운영 작업을 수행할 수 있는가</t>
  </si>
  <si>
    <t>VPN / 방화벽 / 포트 정책 설정</t>
  </si>
  <si>
    <t>Windows 환경에서 VPN 연결, 인바운드/아웃바운드 방화벽 정책, 포트 허용/차단 설정을 할 수 있는가</t>
  </si>
  <si>
    <t>Windows 서비스 및 백그라운드 프로세스 개발</t>
  </si>
  <si>
    <t>WinAPI, C# 등으로 윈도우 서비스를 개발하고 백그라운드에서 동작하는 프로그램을 구현해본 경험이 있는가</t>
  </si>
  <si>
    <t>인증 및 암호화 API 활용</t>
  </si>
  <si>
    <t>Windows 보안 API 또는 .NET 기반 암호화 클래스(RSA, AES 등)를 사용하여 인증/암호화 기능을 구현해본 경험이 있는가</t>
  </si>
  <si>
    <t>DLL 동적 로딩 및 Injection 이해</t>
  </si>
  <si>
    <r>
      <t>LoadLibrary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GetProcAddress</t>
    </r>
    <r>
      <rPr>
        <sz val="11"/>
        <color theme="1"/>
        <rFont val="맑은 고딕"/>
        <family val="2"/>
        <charset val="129"/>
        <scheme val="minor"/>
      </rPr>
      <t xml:space="preserve"> 등을 활용한 DLL 동적 로딩과 DLL Injection 기법의 개념을 이해하고 활용한 경험이 있는가</t>
    </r>
  </si>
  <si>
    <t>포트 스캐닝 및 보안 분석</t>
  </si>
  <si>
    <t>TCP/IP 포트를 스캔하거나 네트워크 보안 취약점을 분석한 경험이 있는가 (Nmap, netstat 등 도구 포함)</t>
  </si>
  <si>
    <t>Docker 테스트 환경 구성</t>
  </si>
  <si>
    <t>Windows 기반 Docker를 활용하여 테스트 환경을 구축하거나, 간단한 컨테이너 이미지 운영 경험이 있는가</t>
  </si>
  <si>
    <t>CI/CD 구성 및 자동화 도구 이해</t>
  </si>
  <si>
    <t>Jenkins 또는 GitHub Actions 등을 이용해 빌드/테스트/배포를 자동화하는 파이프라인을 구성한 경험이 있는가</t>
  </si>
  <si>
    <t>Docker 기반 모듈화 배포 구성</t>
  </si>
  <si>
    <t>Windows 환경에서 Docker를 활용해 각 기능을 컨테이너 단위로 분리하고 배포 가능한 구조로 구성한 경험이 있는가</t>
  </si>
  <si>
    <t>Kubernetes 기본 구조 및 YAML 관리</t>
  </si>
  <si>
    <t>Pod, Deployment, Service 등 K8s 오브젝트의 역할을 이해하고, YAML 파일을 작성 및 수정한 경험이 있는가</t>
  </si>
  <si>
    <t>CI/CD 파이프라인 구성 (Jenkins, GitLab CI 등)</t>
  </si>
  <si>
    <t>Jenkins, GitLab CI 등으로 테스트, 빌드, 배포 단계를 자동화하고 운영한 경험이 있는가</t>
  </si>
  <si>
    <t>.NET Core 기반 서비스/API 서버 개발</t>
  </si>
  <si>
    <t>.NET Core를 이용해 REST API 서버 또는 윈도우 백엔드 서비스를 개발하고 배포한 경험이 있는가</t>
  </si>
  <si>
    <t>고급 SQL 튜닝 및 다중 쿼리 최적화</t>
  </si>
  <si>
    <t>실행계획을 분석하고 다중 조인, 서브쿼리, 인덱스 등을 활용해 성능 개선을 수행한 경험이 있는가</t>
  </si>
  <si>
    <t>PowerShell 시스템 자동화 스크립트</t>
  </si>
  <si>
    <t>PowerShell을 사용하여 시스템 설정, 파일 관리, 서비스 제어 등 반복 작업을 자동화한 경험이 있는가</t>
  </si>
  <si>
    <t>Hyper-V 기반 테스트 VM 구성</t>
  </si>
  <si>
    <t>Hyper-V를 사용하여 테스트용 가상머신을 생성하고, 운영체제 설치 및 네트워크 설정 등을 구성한 경험이 있는가</t>
  </si>
  <si>
    <t>클러스터링 및 장애 조치(Failover) 설계</t>
  </si>
  <si>
    <t>Windows 클러스터 또는 Hyper-V 클러스터를 구성하고, 장애 시 자동 전환되는 고가용성 환경을 설계한 경험이 있는가</t>
  </si>
  <si>
    <t>시스템 보안 정책 및 네트워크 설계</t>
  </si>
  <si>
    <t>Windows 방화벽, 포트 정책, 접근 제어 등 보안 정책을 수립하고 네트워크 보안 아키텍처를 설계한 경험이 있는가</t>
  </si>
  <si>
    <t>분산 시스템 및 로드밸런싱 적용</t>
  </si>
  <si>
    <t>다수의 서버로 구성된 분산 시스템에서 부하 분산, 데이터 일관성, 가용성 등을 고려한 설계를 수행한 경험이 있는가</t>
  </si>
  <si>
    <t>DevOps 파이프라인 최적화 및 보안 통합</t>
  </si>
  <si>
    <t>CI/CD 파이프라인 구성 후 보안 스캐닝, 비밀값 관리 등 보안 연동 요소까지 최적화한 경험이 있는가</t>
  </si>
  <si>
    <t>조직 표준 플랫폼 및 정책 문서화</t>
  </si>
  <si>
    <t>사내 기술 표준, 플랫폼 구조, 배포 규칙 등을 정리하여 문서화하고, 전사 정책으로 확립한 경험이 있는가</t>
  </si>
  <si>
    <t>대규모 서비스 운영 및 장애 대응</t>
  </si>
  <si>
    <t>수많은 사용자가 사용하는 서비스의 운영 경험이 있으며, 장애 발생 시 빠른 분석과 복구 시나리오 실행 경험이 있는가</t>
  </si>
  <si>
    <t>기술진단시트 (안드로이드)</t>
    <phoneticPr fontId="3" type="noConversion"/>
  </si>
  <si>
    <t>Android Studio 설치 및 사용법</t>
  </si>
  <si>
    <t>Android Studio를 설치하고, 프로젝트 생성, 에뮬레이터 실행, 코드 작성 등 기본적인 사용이 가능한가</t>
  </si>
  <si>
    <t>Kotlin 또는 Java 기본 문법 숙지</t>
  </si>
  <si>
    <t>변수 선언, 조건문, 반복문, 클래스, 함수 등 Android 개발에 필요한 기초 문법을 이해하고 사용할 수 있는가</t>
  </si>
  <si>
    <t>Activity / Fragment 개념 및 생명주기 이해</t>
  </si>
  <si>
    <t>Activity와 Fragment의 역할 및 생명주기(onCreate, onResume 등)를 이해하고 적절히 활용할 수 있는가</t>
  </si>
  <si>
    <t>XML 레이아웃 및 UI 구성</t>
  </si>
  <si>
    <t>XML을 이용한 UI 요소(Button, TextView 등) 배치와 이벤트 처리를 구현할 수 있는가</t>
  </si>
  <si>
    <t>Gradle 구조 이해 및 의존성 추가</t>
  </si>
  <si>
    <t>build.gradle 파일의 구조를 이해하고, 필요한 라이브러리를 의존성으로 추가해 본 경험이 있는가</t>
  </si>
  <si>
    <t>SQLite / Room DB 사용</t>
  </si>
  <si>
    <t>간단한 로컬 데이터 저장을 위해 SQLite 또는 Room DB를 활용해 CRUD 기능을 구현한 경험이 있는가</t>
  </si>
  <si>
    <t>Intent, Bundle, Navigation 활용</t>
  </si>
  <si>
    <t>화면 간 데이터 전달(Intent/Bundle)과 Jetpack Navigation을 이용한 화면 전환을 구현할 수 있는가</t>
  </si>
  <si>
    <t>Activity ↔ Fragment 전환 처리</t>
  </si>
  <si>
    <t>Activity와 Fragment 간 전환 및 통신 구조를 이해하고 적절히 구현해 본 경험이 있는가</t>
  </si>
  <si>
    <t>Jetpack 구성요소 (ViewModel, LiveData) 활용</t>
  </si>
  <si>
    <t>ViewModel과 LiveData를 활용한 UI 상태 관리 및 생명주기 고려 구조를 설계할 수 있는가</t>
  </si>
  <si>
    <t>UI 이벤트 처리 (RecyclerView 등)</t>
  </si>
  <si>
    <t>RecyclerView와 Adapter를 이용해 목록을 구성하고, 클릭 등 사용자 이벤트를 처리해 본 경험이 있는가</t>
  </si>
  <si>
    <t>Firebase 인증 및 메시징 활용</t>
  </si>
  <si>
    <t>Firebase Authentication으로 사용자 인증, FCM으로 푸시 메시지 기능을 구현해 본 경험이 있는가</t>
  </si>
  <si>
    <t>Retrofit을 통한 API 통신</t>
  </si>
  <si>
    <t>Retrofit을 활용해 RESTful API와의 연동, 응답 파싱 및 에러 핸들링을 구현해 본 경험이 있는가</t>
  </si>
  <si>
    <t>Gradle 설정 및 의존성 관리</t>
  </si>
  <si>
    <t>Gradle 파일의 구조를 이해하고, 의존성 추가 및 버전 관리 등을 수행해본 경험이 있는가</t>
  </si>
  <si>
    <t>비동기 처리 구현 능력</t>
  </si>
  <si>
    <t>클린 아키텍처 설계 능력</t>
  </si>
  <si>
    <t>Clean Architecture를 기반으로 계층을 나누고 의존성 흐름을 설계한 경험이 있는가</t>
  </si>
  <si>
    <t>서비스 구성 및 최적화</t>
  </si>
  <si>
    <t>Background/Foreground 서비스를 구성하고 리소스 소모를 고려하여 최적화한 경험이 있는가</t>
  </si>
  <si>
    <t>Jetpack 컴포넌트 활용 능력</t>
  </si>
  <si>
    <t>Navigation, Lifecycle Observer, WorkManager 등을 활용해 앱의 흐름과 생명주기를 제어할 수 있는가</t>
  </si>
  <si>
    <t>메모리 누수 탐지 능력</t>
  </si>
  <si>
    <t>LeakCanary 등을 사용해 메모리 누수를 탐지하고 문제를 해결한 경험이 있는가</t>
  </si>
  <si>
    <t>UI 테스트 자동화 능력</t>
  </si>
  <si>
    <t>Espresso 등을 활용해 UI 테스트를 작성하고 유지·보수할 수 있는가</t>
  </si>
  <si>
    <t>DI 구조 설계 능력</t>
  </si>
  <si>
    <t>DI(Dagger/Hilt 등) 구성 시 Scope, Module, Component를 효율적으로 설계한 경험이 있는가</t>
  </si>
  <si>
    <t>앱 접근성 설계 역량</t>
  </si>
  <si>
    <t>접근성 이벤트와 속성을 활용해 장애인 사용자도 사용할 수 있도록 UI를 설계할 수 있는가</t>
  </si>
  <si>
    <t>CI/CD 구성 및 유지보수 능력</t>
  </si>
  <si>
    <t>GitHub Actions, Firebase App Distribution 등을 활용하여 CI/CD 환경을 구축하고 유지보수할 수 있는가</t>
  </si>
  <si>
    <t>Gradle 고급 설정 활용 능력</t>
  </si>
  <si>
    <t>Gradle의 Custom Task 작성이나 자체 플러그인 개발을 통해 빌드 프로세스를 최적화할 수 있는가</t>
  </si>
  <si>
    <t>앱 성능 최적화 및 네이티브 연동 능력</t>
  </si>
  <si>
    <t>메모리와 배터리 사용을 고려하여 성능을 최적화하고, JNI를 통해 네이티브 코드와 연동할 수 있는가</t>
  </si>
  <si>
    <t>모듈화 및 빌드 최적화 설계 능력</t>
  </si>
  <si>
    <t>앱을 멀티 모듈로 구성하고 의존성 구조를 개선하여 빌드 속도를 최적화할 수 있는가</t>
  </si>
  <si>
    <t>다국어/기기 대응 설계 역량</t>
  </si>
  <si>
    <t>다양한 언어 및 기기 환경에 대응할 수 있도록 접근성 요소를 고려하고 설정을 분리하여 설계할 수 있는가</t>
  </si>
  <si>
    <t>테스트 환경 구성 및 커버리지 확보 능력</t>
  </si>
  <si>
    <t>Mock 객체를 활용한 테스트 환경을 구성하고 충분한 테스트 커버리지를 확보할 수 있는가</t>
  </si>
  <si>
    <t>클린 아키텍처 및 MVI 기반 설계 능력</t>
  </si>
  <si>
    <t>Clean Architecture 및 MVI 패턴을 기반으로 대규모 앱 구조를 설계할 수 있는가</t>
  </si>
  <si>
    <t>앱 배포 및 운영 자동화 설계 역량</t>
  </si>
  <si>
    <t>CI/CD 구성과 DevOps 환경을 연계하여 앱의 배포 및 운영 자동화 프로세스를 설계할 수 있는가</t>
  </si>
  <si>
    <t>Jetpack Compose 기반 UI 설계 능력</t>
  </si>
  <si>
    <t>Jetpack Compose를 활용하여 선언형 UI를 구성하고 DSL로 재사용 가능한 컴포넌트를 설계할 수 있는가</t>
  </si>
  <si>
    <t>보안 설계 및 인증 처리 능력</t>
  </si>
  <si>
    <t>OAuth2, JWT, 데이터 암호화 등을 적용하여 앱 보안 아키텍처를 설계할 수 있는가</t>
  </si>
  <si>
    <t>서버리스 백엔드 설계 경험</t>
  </si>
  <si>
    <t>Firebase Functions, Hosting 등을 활용하여 서버리스 백엔드 시스템을 설계할 수 있는가</t>
  </si>
  <si>
    <t>UX 개선 및 접근성 중심 인터랙션 설계 역량</t>
  </si>
  <si>
    <t>사용자 흐름 분석을 기반으로 UX를 개선하고, 접근성을 고려한 인터랙션을 설계할 수 있는가</t>
  </si>
  <si>
    <t>모놀리식 → 멀티 모듈 리팩토링 능력</t>
  </si>
  <si>
    <t>기존의 단일 구조 앱을 멀티 모듈 기반으로 분리 및 리팩토링할 수 있는가</t>
  </si>
  <si>
    <t>MVVM 아키텍처 설계 능력</t>
  </si>
  <si>
    <t>MVVM(Model-View-ViewModel) 구조를 기반으로 앱의 역할을 분리하여 설계 및 구현할 수 있는가</t>
  </si>
  <si>
    <t>Jetpack 고급 컴포넌트 활용 능력</t>
  </si>
  <si>
    <t>Room, DataStore, Paging 등 Jetpack의 고급 컴포넌트를 프로젝트에 적용하고 최적화할 수 있는가</t>
  </si>
  <si>
    <t>RxJava 또는 Kotlin Coroutine을 활용하여 네트워크, IO 작업 등을 비동기적으로 처리할 수 있는가</t>
  </si>
  <si>
    <t>Firebase 기능 활용 역량</t>
  </si>
  <si>
    <t>Firebase Realtime Database와 Crashlytics를 활용하여 데이터 실시간 연동과 오류 추적을 할 수 있는가</t>
  </si>
  <si>
    <t>의존성 주입 설계 능력</t>
  </si>
  <si>
    <t>Dagger2 또는 Hilt를 기반으로 DI 구조를 설계하고, 모듈 단위로 의존성을 관리할 수 있는가</t>
  </si>
  <si>
    <t>실시간 통신 구현 능력</t>
  </si>
  <si>
    <t>WebSocket 또는 gRPC를 활용하여 실시간 데이터 통신 기능을 구현할 수 있는가</t>
  </si>
  <si>
    <t>멀티 모듈 구조 설계 역량</t>
  </si>
  <si>
    <t>프로젝트를 멀티 모듈로 나누고, 모듈 간 의존성을 효율적으로 관리할 수 있는가</t>
  </si>
  <si>
    <t>기술진단시트 (AI)</t>
    <phoneticPr fontId="3" type="noConversion"/>
  </si>
  <si>
    <t>지도학습 및 비지도학습 개념 이해</t>
  </si>
  <si>
    <t>지도학습(supervised learning)과 비지도학습(unsupervised learning)의 개념을 이해하고 설명할 수 있는가</t>
  </si>
  <si>
    <t>데이터 처리 및 시각화 도구 활용 능력</t>
  </si>
  <si>
    <t>NumPy, Pandas를 활용해 데이터를 처리하고, Matplotlib과 Seaborn으로 시각화할 수 있는가</t>
  </si>
  <si>
    <t>기초 머신러닝 모델 구현 능력</t>
  </si>
  <si>
    <t>Logistic Regression, SVM, KMeans 등 기본적인 머신러닝 알고리즘을 직접 구현할 수 있는가</t>
  </si>
  <si>
    <t>머신러닝 프레임워크 활용 능력</t>
  </si>
  <si>
    <t>Scikit-learn, TensorFlow/Keras, PyTorch를 사용하여 모델을 학습시키고 평가할 수 있는가</t>
  </si>
  <si>
    <t>SQL 데이터 처리 능력</t>
  </si>
  <si>
    <t>SQL 기본 문법을 사용해 데이터를 조회하고 가공할 수 있는가</t>
  </si>
  <si>
    <t>API 서버 개발 능력</t>
  </si>
  <si>
    <t>FastAPI 또는 Flask를 활용하여 RESTful한 API 서버를 구축할 수 있는가</t>
  </si>
  <si>
    <t>버전 관리 역량</t>
  </si>
  <si>
    <t>Git을 활용해 협업 시 브랜치 전략, 커밋 관리 등을 체계적으로 수행할 수 있는가</t>
  </si>
  <si>
    <t>딥러닝 기본 구조 구현 능력</t>
  </si>
  <si>
    <t>TensorFlow 또는 PyTorch를 사용하여 CNN, RNN 등 딥러닝 모델의 기본 구조를 구현할 수 있는가</t>
  </si>
  <si>
    <t>데이터 수집 및 크롤링 자동화 능력</t>
  </si>
  <si>
    <t>Selenium 또는 외부 API를 이용하여 필요한 데이터를 자동으로 수집할 수 있는가</t>
  </si>
  <si>
    <t>모델 학습 및 검증 파이프라인 구성 능력</t>
  </si>
  <si>
    <t>데이터 전처리, 모델 학습, 평가 과정을 자동화한 ML/DL 학습 파이프라인을 구성할 수 있는가</t>
  </si>
  <si>
    <t>모델 경량화 개념 이해 및 적용 능력</t>
  </si>
  <si>
    <t>Quantization, Pruning, Knowledge Distillation 등 모델 경량화 기법을 이해하고 적용할 수 있는가</t>
  </si>
  <si>
    <t>MLOps 환경 설정 능력</t>
  </si>
  <si>
    <t>Docker와 Kubernetes를 이용하여 머신러닝 프로젝트의 배포 및 운영 환경을 구성할 수 있는가</t>
  </si>
  <si>
    <t>모델 서빙 프레임워크 활용 능력</t>
  </si>
  <si>
    <t>TensorFlow Serving 또는 TorchServe를 활용해 학습된 모델을 실시간으로 서빙할 수 있는가</t>
  </si>
  <si>
    <t>Transformer 기반 모델 활용 능력</t>
  </si>
  <si>
    <t>BERT, GPT 계열 등 Transformer 기반 사전학습 모델을 학습시키고 파인튜닝할 수 있는가</t>
  </si>
  <si>
    <t>생성 모델 활용 능력</t>
  </si>
  <si>
    <t>Autoencoder, GAN, Seq2Seq 등의 딥러닝 생성 모델을 이해하고 활용할 수 있는가</t>
  </si>
  <si>
    <t>컴퓨터 비전 모델 구현 능력</t>
  </si>
  <si>
    <t>Object Detection, Segmentation 등 컴퓨터 비전 모델을 구현하고 학습시킬 수 있는가</t>
  </si>
  <si>
    <t>추천 시스템 기초 구현 능력</t>
  </si>
  <si>
    <t>TF-IDF, Matrix Factorization(MF) 기반의 간단한 추천 시스템을 설계하고 구현할 수 있는가</t>
  </si>
  <si>
    <t>음성 인식 및 음향 분석 모델 활용 능력</t>
  </si>
  <si>
    <t>음성 인식 또는 음향 분석 모델의 구조를 이해하고 간단한 모델을 구성할 수 있는가</t>
  </si>
  <si>
    <t>워크플로우 자동화 파이프라인 구성 능력</t>
  </si>
  <si>
    <t>Airflow를 활용하여 모델 학습 및 데이터 처리 과정을 자동화하는 파이프라인을 구성할 수 있는가</t>
  </si>
  <si>
    <t>모델 서빙 최적화 기술 활용 능력</t>
  </si>
  <si>
    <t>ONNX 또는 TensorRT를 사용하여 모델의 성능을 최적화하고 배포할 수 있는가</t>
  </si>
  <si>
    <t>멀티모달 AI 구조 이해 및 활용 능력</t>
  </si>
  <si>
    <t>Representation Learning, Modal Fusion 등 멀티모달 AI의 구조와 원리를 이해하고 설계할 수 있는가</t>
  </si>
  <si>
    <t>Cross-Attention 기반 모델 설계 능력</t>
  </si>
  <si>
    <t>AI 에이전트 설계 능력</t>
  </si>
  <si>
    <t>LangChain 또는 LangGraph를 활용하여 사용자 목표 기반 AI Agent를 설계할 수 있는가</t>
  </si>
  <si>
    <t>RAG 시스템 구현 능력</t>
  </si>
  <si>
    <t>Firebase, FAISS/Milvus 등 Vector DB와 LangChain을 활용해 Retrieval-Augmented Generation 시스템을 구현할 수 있는가</t>
  </si>
  <si>
    <t>LLM 기반 추천 시스템 설계 능력</t>
  </si>
  <si>
    <t>LLM의 문맥 이해 능력을 활용한 지능형 추천 시스템을 설계할 수 있는가</t>
  </si>
  <si>
    <t>모델 성능 모니터링 및 배포 자동화 능력</t>
  </si>
  <si>
    <t>MLflow 또는 Weights &amp; Biases(WandB)를 활용하여 모델의 학습 성능을 모니터링하고 자동 배포 파이프라인을 구성할 수 있는가</t>
  </si>
  <si>
    <t>고급 Transformer 및 Sparse 모델 구조 활용 능력</t>
  </si>
  <si>
    <t>Efficient Transformer, Sparse Modeling, MoE(Mixture of Experts) 구조를 이해하고 적용할 수 있는가</t>
  </si>
  <si>
    <t>LLM 경량화 기술 적용 능력</t>
  </si>
  <si>
    <t>QLoRA, LoRA, PEFT 등 최신 기법을 이용해 대형 언어 모델을 경량화할 수 있는가</t>
  </si>
  <si>
    <t>온디바이스 AI 최적화 및 배포 역량</t>
  </si>
  <si>
    <t>모바일/임베디드 환경에 맞춰 모델을 최적화하고 온디바이스에 배포할 수 있는가</t>
  </si>
  <si>
    <t>실시간 AI API 개발 능력</t>
  </si>
  <si>
    <t>gRPC 또는 WebSocket을 기반으로 실시간 응답이 가능한 AI API 서버를 개발할 수 있는가</t>
  </si>
  <si>
    <t>Vector DB 최적화 역량</t>
  </si>
  <si>
    <t>FAISS, Milvus 등의 벡터 데이터베이스에서 인덱싱 및 쿼리 성능을 최적화할 수 있는가</t>
  </si>
  <si>
    <t>대규모 MLOps 파이프라인 운영 능력</t>
  </si>
  <si>
    <t>Airflow 및 Kubernetes를 기반으로 모델 학습/서빙 파이프라인을 설계하고 운영할 수 있는가</t>
  </si>
  <si>
    <t>AI Agent 및 멀티모달 통합 아키텍처 설계 능력</t>
  </si>
  <si>
    <t>멀티 AI Agent 및 멀티모달 입력/출력을 통합하는 AI 시스템 아키텍처를 설계할 수 있는가</t>
  </si>
  <si>
    <t>클라우드 기반 AI 파이프라인 설계 능력</t>
  </si>
  <si>
    <t>GCP Vertex AI, AWS SageMaker 등을 활용해 학습부터 서빙까지 전 과정을 클라우드에서 설계할 수 있는가</t>
  </si>
  <si>
    <t>글로벌 규모 AI 모델 최적화 및 서빙 튜닝 역량</t>
  </si>
  <si>
    <t>대용량 사용자를 대상으로 모델 성능을 최적화하고, 서빙 환경의 레이턴시·스케일링을 조정할 수 있는가</t>
  </si>
  <si>
    <t>Sparse Transformer 및 MoE 기반 확장 설계 역량</t>
  </si>
  <si>
    <t>Sparse Transformer 및 Mixture of Experts 기반 구조로 LLM을 확장하고 효율화할 수 있는가</t>
  </si>
  <si>
    <t>Full-Stack MLOps 설계 및 운영 능력</t>
  </si>
  <si>
    <t>데이터 수집 및 라벨링부터 학습, 서빙, 모니터링까지 포함하는 MLOps 파이프라인을 설계하고 운영할 수 있는가</t>
  </si>
  <si>
    <t>AI 윤리 및 데이터 거버넌스 정책 설계 역량</t>
  </si>
  <si>
    <t>AI 활용 시 보안, 편향, 프라이버시, 데이터 거버넌스를 고려한 윤리적 정책을 수립할 수 있는가</t>
  </si>
  <si>
    <t>레벨별 필요기술 - WEB</t>
    <phoneticPr fontId="3" type="noConversion"/>
  </si>
  <si>
    <t>레벨별 필요기술 - 데이터베이스</t>
    <phoneticPr fontId="3" type="noConversion"/>
  </si>
  <si>
    <t>레벨별 필요기술 - 차단엔진 및 오피스가드 (시스템 및 네트워크 프로그래밍 )</t>
    <phoneticPr fontId="3" type="noConversion"/>
  </si>
  <si>
    <t>레벨별 필요기술 - Windows</t>
    <phoneticPr fontId="3" type="noConversion"/>
  </si>
  <si>
    <t>레벨별 필요기술 - 안드로이드</t>
    <phoneticPr fontId="3" type="noConversion"/>
  </si>
  <si>
    <t>레벨별 필요기술 - AI</t>
    <phoneticPr fontId="3" type="noConversion"/>
  </si>
  <si>
    <t>김선준</t>
    <phoneticPr fontId="3" type="noConversion"/>
  </si>
  <si>
    <t>Cross-Attention 메커니즘을 활용한 구조를 설계하고 구현할 수 있는가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</si>
</sst>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b/>
      <sz val="7"/>
      <color rgb="FF262626"/>
      <name val="Tahoma"/>
      <family val="2"/>
    </font>
    <font>
      <sz val="7"/>
      <color rgb="FF262626"/>
      <name val="Tahoma"/>
      <family val="2"/>
    </font>
    <font>
      <sz val="8"/>
      <name val="맑은 고딕"/>
      <family val="2"/>
      <charset val="129"/>
      <scheme val="minor"/>
    </font>
    <font>
      <b/>
      <sz val="7"/>
      <color rgb="FF262626"/>
      <name val="맑은 고딕"/>
      <family val="2"/>
      <charset val="129"/>
    </font>
    <font>
      <b/>
      <sz val="7"/>
      <color rgb="FF262626"/>
      <name val="맑은 고딕"/>
      <family val="3"/>
      <charset val="129"/>
    </font>
    <font>
      <b/>
      <sz val="7"/>
      <color rgb="FF262626"/>
      <name val="Tahoma"/>
      <family val="3"/>
    </font>
    <font>
      <sz val="14"/>
      <color theme="9"/>
      <name val="Tahoma"/>
      <family val="2"/>
    </font>
    <font>
      <sz val="14"/>
      <color theme="9"/>
      <name val="맑은 고딕"/>
      <family val="2"/>
      <charset val="129"/>
      <scheme val="minor"/>
    </font>
    <font>
      <sz val="14"/>
      <color theme="9"/>
      <name val="Segoe UI Symbo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7"/>
      <color rgb="FF262626"/>
      <name val="Tahoma"/>
      <family val="3"/>
      <charset val="129"/>
    </font>
    <font>
      <sz val="11"/>
      <color theme="1"/>
      <name val="Segoe UI Symbol"/>
      <family val="3"/>
    </font>
    <font>
      <b/>
      <sz val="8"/>
      <color rgb="FF262626"/>
      <name val="맑은 고딕"/>
      <family val="3"/>
      <charset val="129"/>
    </font>
    <font>
      <b/>
      <sz val="8"/>
      <color rgb="FF262626"/>
      <name val="Tahoma"/>
      <family val="3"/>
    </font>
    <font>
      <sz val="12"/>
      <color rgb="FF0061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7"/>
      <color rgb="FF262626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8"/>
      <name val="Tahoma"/>
      <family val="2"/>
    </font>
    <font>
      <b/>
      <sz val="8"/>
      <name val="맑은 고딕"/>
      <family val="2"/>
      <charset val="129"/>
    </font>
    <font>
      <b/>
      <sz val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Segoe UI Symbol"/>
      <family val="2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9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theme="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medium">
        <color theme="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/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medium">
        <color theme="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25" fillId="0" borderId="0"/>
  </cellStyleXfs>
  <cellXfs count="21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0" fontId="0" fillId="0" borderId="14" xfId="0" applyBorder="1">
      <alignment vertical="center"/>
    </xf>
    <xf numFmtId="0" fontId="2" fillId="2" borderId="17" xfId="0" applyFont="1" applyFill="1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2" borderId="14" xfId="0" applyFill="1" applyBorder="1">
      <alignment vertic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0" fillId="2" borderId="34" xfId="0" applyFill="1" applyBorder="1">
      <alignment vertical="center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vertical="center" wrapText="1"/>
    </xf>
    <xf numFmtId="0" fontId="2" fillId="2" borderId="40" xfId="0" applyFont="1" applyFill="1" applyBorder="1" applyAlignment="1">
      <alignment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0" fillId="0" borderId="25" xfId="0" applyBorder="1">
      <alignment vertical="center"/>
    </xf>
    <xf numFmtId="0" fontId="9" fillId="2" borderId="43" xfId="0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8" fillId="0" borderId="4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40" xfId="0" applyBorder="1">
      <alignment vertical="center"/>
    </xf>
    <xf numFmtId="0" fontId="9" fillId="2" borderId="38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0" borderId="60" xfId="0" applyBorder="1">
      <alignment vertical="center"/>
    </xf>
    <xf numFmtId="0" fontId="0" fillId="0" borderId="26" xfId="0" applyBorder="1">
      <alignment vertical="center"/>
    </xf>
    <xf numFmtId="0" fontId="0" fillId="0" borderId="51" xfId="0" applyBorder="1">
      <alignment vertical="center"/>
    </xf>
    <xf numFmtId="0" fontId="0" fillId="0" borderId="45" xfId="0" applyBorder="1">
      <alignment vertical="center"/>
    </xf>
    <xf numFmtId="0" fontId="1" fillId="2" borderId="61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84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 wrapText="1"/>
    </xf>
    <xf numFmtId="0" fontId="9" fillId="2" borderId="59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49" fontId="0" fillId="0" borderId="69" xfId="0" applyNumberFormat="1" applyBorder="1" applyAlignment="1">
      <alignment horizontal="center" vertical="center" wrapText="1"/>
    </xf>
    <xf numFmtId="49" fontId="10" fillId="0" borderId="69" xfId="0" applyNumberFormat="1" applyFont="1" applyBorder="1" applyAlignment="1">
      <alignment horizontal="center" vertical="center" wrapText="1"/>
    </xf>
    <xf numFmtId="49" fontId="10" fillId="5" borderId="69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0" fillId="0" borderId="0" xfId="0" applyNumberFormat="1" applyFont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0" fillId="0" borderId="78" xfId="0" applyNumberFormat="1" applyBorder="1" applyAlignment="1">
      <alignment horizontal="center" vertical="center"/>
    </xf>
    <xf numFmtId="49" fontId="14" fillId="2" borderId="77" xfId="0" applyNumberFormat="1" applyFont="1" applyFill="1" applyBorder="1" applyAlignment="1">
      <alignment horizontal="center" vertical="center" wrapText="1"/>
    </xf>
    <xf numFmtId="49" fontId="15" fillId="2" borderId="77" xfId="0" applyNumberFormat="1" applyFont="1" applyFill="1" applyBorder="1" applyAlignment="1">
      <alignment horizontal="center" vertical="center" wrapText="1"/>
    </xf>
    <xf numFmtId="49" fontId="0" fillId="0" borderId="75" xfId="0" applyNumberFormat="1" applyBorder="1">
      <alignment vertical="center"/>
    </xf>
    <xf numFmtId="49" fontId="0" fillId="0" borderId="79" xfId="0" applyNumberFormat="1" applyBorder="1">
      <alignment vertical="center"/>
    </xf>
    <xf numFmtId="49" fontId="0" fillId="0" borderId="75" xfId="0" applyNumberFormat="1" applyBorder="1" applyAlignment="1">
      <alignment horizontal="center" vertical="center"/>
    </xf>
    <xf numFmtId="49" fontId="0" fillId="0" borderId="70" xfId="0" applyNumberFormat="1" applyBorder="1" applyAlignment="1">
      <alignment horizontal="center" vertical="center"/>
    </xf>
    <xf numFmtId="49" fontId="0" fillId="0" borderId="73" xfId="0" applyNumberFormat="1" applyBorder="1" applyAlignment="1">
      <alignment horizontal="center" vertical="center"/>
    </xf>
    <xf numFmtId="49" fontId="0" fillId="0" borderId="74" xfId="0" applyNumberFormat="1" applyBorder="1" applyAlignment="1">
      <alignment horizontal="center" vertical="center"/>
    </xf>
    <xf numFmtId="49" fontId="17" fillId="0" borderId="73" xfId="0" applyNumberFormat="1" applyFont="1" applyBorder="1" applyAlignment="1">
      <alignment horizontal="left" vertical="top" wrapText="1"/>
    </xf>
    <xf numFmtId="49" fontId="19" fillId="0" borderId="69" xfId="0" applyNumberFormat="1" applyFont="1" applyBorder="1" applyAlignment="1">
      <alignment horizontal="left" vertical="top" wrapText="1"/>
    </xf>
    <xf numFmtId="49" fontId="20" fillId="0" borderId="69" xfId="1" applyNumberFormat="1" applyFont="1" applyFill="1" applyBorder="1" applyAlignment="1">
      <alignment horizontal="left" vertical="top" wrapText="1"/>
    </xf>
    <xf numFmtId="49" fontId="21" fillId="0" borderId="69" xfId="0" applyNumberFormat="1" applyFont="1" applyBorder="1" applyAlignment="1">
      <alignment horizontal="left" vertical="top" wrapText="1"/>
    </xf>
    <xf numFmtId="49" fontId="0" fillId="0" borderId="15" xfId="0" applyNumberFormat="1" applyBorder="1">
      <alignment vertical="center"/>
    </xf>
    <xf numFmtId="49" fontId="20" fillId="0" borderId="87" xfId="1" applyNumberFormat="1" applyFont="1" applyFill="1" applyBorder="1" applyAlignment="1">
      <alignment horizontal="left" vertical="top" wrapText="1"/>
    </xf>
    <xf numFmtId="49" fontId="21" fillId="0" borderId="70" xfId="0" applyNumberFormat="1" applyFont="1" applyBorder="1" applyAlignment="1">
      <alignment vertical="top" wrapText="1"/>
    </xf>
    <xf numFmtId="49" fontId="0" fillId="0" borderId="69" xfId="0" applyNumberFormat="1" applyBorder="1">
      <alignment vertical="center"/>
    </xf>
    <xf numFmtId="49" fontId="20" fillId="0" borderId="86" xfId="0" applyNumberFormat="1" applyFont="1" applyBorder="1" applyAlignment="1">
      <alignment horizontal="left" vertical="top" wrapText="1"/>
    </xf>
    <xf numFmtId="49" fontId="19" fillId="0" borderId="80" xfId="0" applyNumberFormat="1" applyFont="1" applyBorder="1" applyAlignment="1">
      <alignment horizontal="left" vertical="top" wrapText="1"/>
    </xf>
    <xf numFmtId="49" fontId="20" fillId="0" borderId="77" xfId="0" applyNumberFormat="1" applyFont="1" applyBorder="1" applyAlignment="1">
      <alignment horizontal="left" vertical="top" wrapText="1"/>
    </xf>
    <xf numFmtId="49" fontId="20" fillId="0" borderId="80" xfId="1" applyNumberFormat="1" applyFont="1" applyFill="1" applyBorder="1" applyAlignment="1">
      <alignment horizontal="left" vertical="top" wrapText="1"/>
    </xf>
    <xf numFmtId="49" fontId="21" fillId="0" borderId="77" xfId="0" applyNumberFormat="1" applyFont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49" fontId="20" fillId="0" borderId="73" xfId="0" applyNumberFormat="1" applyFont="1" applyBorder="1" applyAlignment="1">
      <alignment horizontal="left" vertical="top" wrapText="1"/>
    </xf>
    <xf numFmtId="49" fontId="20" fillId="0" borderId="89" xfId="0" applyNumberFormat="1" applyFont="1" applyBorder="1" applyAlignment="1">
      <alignment horizontal="left" vertical="top" wrapText="1"/>
    </xf>
    <xf numFmtId="49" fontId="22" fillId="2" borderId="76" xfId="0" applyNumberFormat="1" applyFont="1" applyFill="1" applyBorder="1" applyAlignment="1">
      <alignment horizontal="center" vertical="center" wrapText="1"/>
    </xf>
    <xf numFmtId="49" fontId="23" fillId="2" borderId="77" xfId="0" applyNumberFormat="1" applyFont="1" applyFill="1" applyBorder="1" applyAlignment="1">
      <alignment horizontal="center" vertical="center" wrapText="1"/>
    </xf>
    <xf numFmtId="49" fontId="24" fillId="2" borderId="7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69" xfId="0" applyBorder="1" applyAlignment="1">
      <alignment horizontal="center" vertical="center" wrapText="1"/>
    </xf>
    <xf numFmtId="0" fontId="0" fillId="0" borderId="69" xfId="0" applyBorder="1" applyAlignment="1">
      <alignment vertical="center" wrapText="1"/>
    </xf>
    <xf numFmtId="49" fontId="0" fillId="0" borderId="69" xfId="0" applyNumberFormat="1" applyBorder="1" applyAlignment="1">
      <alignment vertical="center" wrapText="1"/>
    </xf>
    <xf numFmtId="0" fontId="11" fillId="0" borderId="69" xfId="0" applyFont="1" applyBorder="1" applyAlignment="1">
      <alignment vertical="center" wrapText="1"/>
    </xf>
    <xf numFmtId="0" fontId="11" fillId="0" borderId="69" xfId="0" applyFont="1" applyBorder="1" applyAlignment="1">
      <alignment horizontal="center" vertical="center" wrapText="1"/>
    </xf>
    <xf numFmtId="0" fontId="10" fillId="5" borderId="69" xfId="0" applyFont="1" applyFill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0" fontId="27" fillId="0" borderId="76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left" vertical="center" wrapText="1"/>
    </xf>
    <xf numFmtId="0" fontId="29" fillId="0" borderId="69" xfId="0" applyFont="1" applyBorder="1" applyAlignment="1">
      <alignment horizontal="center" vertical="center" wrapText="1"/>
    </xf>
    <xf numFmtId="9" fontId="10" fillId="5" borderId="69" xfId="0" applyNumberFormat="1" applyFont="1" applyFill="1" applyBorder="1" applyAlignment="1">
      <alignment horizontal="center" vertical="center" wrapText="1"/>
    </xf>
    <xf numFmtId="0" fontId="30" fillId="0" borderId="69" xfId="0" applyFont="1" applyBorder="1" applyAlignment="1">
      <alignment vertical="center" wrapText="1"/>
    </xf>
    <xf numFmtId="0" fontId="26" fillId="0" borderId="72" xfId="0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10" fillId="0" borderId="91" xfId="0" applyFont="1" applyBorder="1" applyAlignment="1">
      <alignment horizontal="center" vertical="center" wrapText="1"/>
    </xf>
    <xf numFmtId="0" fontId="10" fillId="0" borderId="94" xfId="0" applyFont="1" applyBorder="1" applyAlignment="1">
      <alignment horizontal="center" vertical="center" wrapText="1"/>
    </xf>
    <xf numFmtId="0" fontId="10" fillId="0" borderId="92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26" fillId="0" borderId="7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0" fontId="26" fillId="0" borderId="95" xfId="0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8" fillId="0" borderId="87" xfId="0" applyFont="1" applyBorder="1" applyAlignment="1">
      <alignment horizontal="center" vertical="center" wrapText="1"/>
    </xf>
    <xf numFmtId="0" fontId="28" fillId="0" borderId="88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center" wrapText="1"/>
    </xf>
    <xf numFmtId="0" fontId="0" fillId="0" borderId="51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2" borderId="3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 wrapText="1"/>
    </xf>
    <xf numFmtId="49" fontId="10" fillId="0" borderId="88" xfId="0" applyNumberFormat="1" applyFont="1" applyBorder="1" applyAlignment="1">
      <alignment horizontal="center" vertical="center" wrapText="1"/>
    </xf>
    <xf numFmtId="49" fontId="10" fillId="0" borderId="70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0" fillId="0" borderId="73" xfId="0" applyNumberForma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49" fontId="10" fillId="0" borderId="52" xfId="0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center" vertical="center"/>
    </xf>
    <xf numFmtId="49" fontId="10" fillId="0" borderId="71" xfId="0" applyNumberFormat="1" applyFont="1" applyBorder="1" applyAlignment="1">
      <alignment horizontal="center" vertical="center"/>
    </xf>
    <xf numFmtId="49" fontId="10" fillId="0" borderId="72" xfId="0" applyNumberFormat="1" applyFont="1" applyBorder="1" applyAlignment="1">
      <alignment horizontal="center" vertical="center"/>
    </xf>
    <xf numFmtId="49" fontId="10" fillId="3" borderId="81" xfId="0" applyNumberFormat="1" applyFont="1" applyFill="1" applyBorder="1" applyAlignment="1">
      <alignment horizontal="center" vertical="center"/>
    </xf>
    <xf numFmtId="49" fontId="10" fillId="3" borderId="82" xfId="0" applyNumberFormat="1" applyFont="1" applyFill="1" applyBorder="1" applyAlignment="1">
      <alignment horizontal="center" vertical="center"/>
    </xf>
    <xf numFmtId="49" fontId="10" fillId="3" borderId="83" xfId="0" applyNumberFormat="1" applyFont="1" applyFill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</cellXfs>
  <cellStyles count="3">
    <cellStyle name="좋음" xfId="1" builtinId="26"/>
    <cellStyle name="표준" xfId="0" builtinId="0"/>
    <cellStyle name="표준 2" xfId="2" xr:uid="{BE83251B-BC9D-4E0A-9A83-FA35452D3031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F81E-052E-4CFF-8CB1-51220FA7D1A2}">
  <dimension ref="B2:D34"/>
  <sheetViews>
    <sheetView topLeftCell="A10" workbookViewId="0">
      <selection activeCell="A20" sqref="A20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16384" width="9" style="132"/>
  </cols>
  <sheetData>
    <row r="2" spans="2:4" ht="17.5" thickBot="1"/>
    <row r="3" spans="2:4" ht="32.25" customHeight="1">
      <c r="B3" s="140" t="s">
        <v>172</v>
      </c>
      <c r="C3" s="155" t="s">
        <v>740</v>
      </c>
      <c r="D3" s="156"/>
    </row>
    <row r="4" spans="2:4" ht="63.75" customHeight="1" thickBot="1">
      <c r="B4" s="141" t="s">
        <v>165</v>
      </c>
      <c r="C4" s="157"/>
      <c r="D4" s="158"/>
    </row>
    <row r="6" spans="2:4" s="131" customFormat="1" ht="33.75" customHeight="1">
      <c r="B6" s="139" t="s">
        <v>75</v>
      </c>
      <c r="C6" s="139" t="s">
        <v>186</v>
      </c>
      <c r="D6" s="99" t="s">
        <v>175</v>
      </c>
    </row>
    <row r="7" spans="2:4" ht="119">
      <c r="B7" s="134" t="s">
        <v>166</v>
      </c>
      <c r="C7" s="135" t="s">
        <v>173</v>
      </c>
      <c r="D7" s="136" t="s">
        <v>174</v>
      </c>
    </row>
    <row r="8" spans="2:4" ht="119">
      <c r="B8" s="134" t="s">
        <v>167</v>
      </c>
      <c r="C8" s="135" t="s">
        <v>176</v>
      </c>
      <c r="D8" s="136" t="s">
        <v>178</v>
      </c>
    </row>
    <row r="9" spans="2:4" ht="136">
      <c r="B9" s="134" t="s">
        <v>168</v>
      </c>
      <c r="C9" s="135" t="s">
        <v>177</v>
      </c>
      <c r="D9" s="136" t="s">
        <v>179</v>
      </c>
    </row>
    <row r="10" spans="2:4" ht="136">
      <c r="B10" s="134" t="s">
        <v>169</v>
      </c>
      <c r="C10" s="137" t="s">
        <v>180</v>
      </c>
      <c r="D10" s="136" t="s">
        <v>181</v>
      </c>
    </row>
    <row r="11" spans="2:4" ht="119">
      <c r="B11" s="134" t="s">
        <v>170</v>
      </c>
      <c r="C11" s="135" t="s">
        <v>182</v>
      </c>
      <c r="D11" s="136" t="s">
        <v>183</v>
      </c>
    </row>
    <row r="12" spans="2:4" ht="119">
      <c r="B12" s="138" t="s">
        <v>171</v>
      </c>
      <c r="C12" s="135" t="s">
        <v>184</v>
      </c>
      <c r="D12" s="136" t="s">
        <v>185</v>
      </c>
    </row>
    <row r="13" spans="2:4" ht="32.25" customHeight="1"/>
    <row r="34" ht="34.5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44A4-A837-4A83-A2D8-41F7371CD71B}">
  <dimension ref="B2:F47"/>
  <sheetViews>
    <sheetView workbookViewId="0">
      <pane ySplit="7" topLeftCell="A42" activePane="bottomLeft" state="frozen"/>
      <selection pane="bottomLeft" activeCell="E14" sqref="E14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247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59">
        <v>1</v>
      </c>
      <c r="C8" s="147">
        <v>1</v>
      </c>
      <c r="D8" s="148" t="s">
        <v>256</v>
      </c>
      <c r="E8" s="148" t="s">
        <v>259</v>
      </c>
      <c r="F8" s="149">
        <v>1</v>
      </c>
    </row>
    <row r="9" spans="2:6" ht="33" customHeight="1">
      <c r="B9" s="159"/>
      <c r="C9" s="147">
        <v>2</v>
      </c>
      <c r="D9" s="148" t="s">
        <v>257</v>
      </c>
      <c r="E9" s="148" t="s">
        <v>258</v>
      </c>
      <c r="F9" s="149">
        <v>2</v>
      </c>
    </row>
    <row r="10" spans="2:6" ht="33" customHeight="1">
      <c r="B10" s="159"/>
      <c r="C10" s="147">
        <v>3</v>
      </c>
      <c r="D10" s="148" t="s">
        <v>260</v>
      </c>
      <c r="E10" s="148" t="s">
        <v>261</v>
      </c>
      <c r="F10" s="149">
        <v>1</v>
      </c>
    </row>
    <row r="11" spans="2:6" ht="33" customHeight="1">
      <c r="B11" s="159"/>
      <c r="C11" s="147">
        <v>4</v>
      </c>
      <c r="D11" s="148" t="s">
        <v>262</v>
      </c>
      <c r="E11" s="148" t="s">
        <v>263</v>
      </c>
      <c r="F11" s="149">
        <v>1</v>
      </c>
    </row>
    <row r="12" spans="2:6" ht="33" customHeight="1">
      <c r="B12" s="159"/>
      <c r="C12" s="147">
        <v>5</v>
      </c>
      <c r="D12" s="148" t="s">
        <v>264</v>
      </c>
      <c r="E12" s="148" t="s">
        <v>265</v>
      </c>
      <c r="F12" s="149">
        <v>2</v>
      </c>
    </row>
    <row r="13" spans="2:6" ht="33" customHeight="1">
      <c r="B13" s="159"/>
      <c r="C13" s="147">
        <v>6</v>
      </c>
      <c r="D13" s="148" t="s">
        <v>266</v>
      </c>
      <c r="E13" s="148" t="s">
        <v>267</v>
      </c>
      <c r="F13" s="149">
        <v>1</v>
      </c>
    </row>
    <row r="14" spans="2:6" ht="33" customHeight="1">
      <c r="B14" s="159"/>
      <c r="C14" s="147">
        <v>7</v>
      </c>
      <c r="D14" s="148" t="s">
        <v>268</v>
      </c>
      <c r="E14" s="148" t="s">
        <v>269</v>
      </c>
      <c r="F14" s="149">
        <v>1</v>
      </c>
    </row>
    <row r="15" spans="2:6" ht="33" customHeight="1">
      <c r="B15" s="159">
        <v>2</v>
      </c>
      <c r="C15" s="147">
        <v>8</v>
      </c>
      <c r="D15" s="135" t="s">
        <v>271</v>
      </c>
      <c r="E15" s="135" t="s">
        <v>272</v>
      </c>
      <c r="F15" s="134">
        <v>1</v>
      </c>
    </row>
    <row r="16" spans="2:6" ht="33" customHeight="1">
      <c r="B16" s="159"/>
      <c r="C16" s="147">
        <v>9</v>
      </c>
      <c r="D16" s="135" t="s">
        <v>273</v>
      </c>
      <c r="E16" s="135" t="s">
        <v>274</v>
      </c>
      <c r="F16" s="134">
        <v>2</v>
      </c>
    </row>
    <row r="17" spans="2:6" ht="33" customHeight="1">
      <c r="B17" s="159"/>
      <c r="C17" s="147">
        <v>10</v>
      </c>
      <c r="D17" s="135" t="s">
        <v>275</v>
      </c>
      <c r="E17" s="135" t="s">
        <v>276</v>
      </c>
      <c r="F17" s="134">
        <v>0</v>
      </c>
    </row>
    <row r="18" spans="2:6" ht="33" customHeight="1">
      <c r="B18" s="159"/>
      <c r="C18" s="147">
        <v>11</v>
      </c>
      <c r="D18" s="135" t="s">
        <v>277</v>
      </c>
      <c r="E18" s="135" t="s">
        <v>278</v>
      </c>
      <c r="F18" s="134">
        <v>1</v>
      </c>
    </row>
    <row r="19" spans="2:6" ht="33" customHeight="1">
      <c r="B19" s="159"/>
      <c r="C19" s="147">
        <v>12</v>
      </c>
      <c r="D19" s="135" t="s">
        <v>279</v>
      </c>
      <c r="E19" s="135" t="s">
        <v>280</v>
      </c>
      <c r="F19" s="134">
        <v>1</v>
      </c>
    </row>
    <row r="20" spans="2:6" ht="33" customHeight="1">
      <c r="B20" s="159"/>
      <c r="C20" s="147">
        <v>13</v>
      </c>
      <c r="D20" s="135" t="s">
        <v>281</v>
      </c>
      <c r="E20" s="135" t="s">
        <v>282</v>
      </c>
      <c r="F20" s="134">
        <v>0</v>
      </c>
    </row>
    <row r="21" spans="2:6" ht="33" customHeight="1">
      <c r="B21" s="159">
        <v>3</v>
      </c>
      <c r="C21" s="147">
        <v>14</v>
      </c>
      <c r="D21" s="135" t="s">
        <v>283</v>
      </c>
      <c r="E21" s="135" t="s">
        <v>284</v>
      </c>
      <c r="F21" s="134">
        <v>2</v>
      </c>
    </row>
    <row r="22" spans="2:6" ht="33" customHeight="1">
      <c r="B22" s="159"/>
      <c r="C22" s="147">
        <v>15</v>
      </c>
      <c r="D22" s="135" t="s">
        <v>285</v>
      </c>
      <c r="E22" s="135" t="s">
        <v>286</v>
      </c>
      <c r="F22" s="134">
        <v>2</v>
      </c>
    </row>
    <row r="23" spans="2:6" ht="33" customHeight="1">
      <c r="B23" s="159"/>
      <c r="C23" s="147">
        <v>16</v>
      </c>
      <c r="D23" s="135" t="s">
        <v>287</v>
      </c>
      <c r="E23" s="135" t="s">
        <v>288</v>
      </c>
      <c r="F23" s="134">
        <v>0</v>
      </c>
    </row>
    <row r="24" spans="2:6" ht="33" customHeight="1">
      <c r="B24" s="159"/>
      <c r="C24" s="147">
        <v>17</v>
      </c>
      <c r="D24" s="135" t="s">
        <v>289</v>
      </c>
      <c r="E24" s="135" t="s">
        <v>290</v>
      </c>
      <c r="F24" s="134">
        <v>0</v>
      </c>
    </row>
    <row r="25" spans="2:6" ht="33" customHeight="1">
      <c r="B25" s="159"/>
      <c r="C25" s="147">
        <v>18</v>
      </c>
      <c r="D25" s="135" t="s">
        <v>291</v>
      </c>
      <c r="E25" s="135" t="s">
        <v>292</v>
      </c>
      <c r="F25" s="134">
        <v>0</v>
      </c>
    </row>
    <row r="26" spans="2:6" ht="33" customHeight="1">
      <c r="B26" s="159"/>
      <c r="C26" s="147">
        <v>19</v>
      </c>
      <c r="D26" s="135" t="s">
        <v>293</v>
      </c>
      <c r="E26" s="135" t="s">
        <v>294</v>
      </c>
      <c r="F26" s="134">
        <v>2</v>
      </c>
    </row>
    <row r="27" spans="2:6" ht="33" customHeight="1">
      <c r="B27" s="159"/>
      <c r="C27" s="147">
        <v>20</v>
      </c>
      <c r="D27" s="135" t="s">
        <v>254</v>
      </c>
      <c r="E27" s="135" t="s">
        <v>295</v>
      </c>
      <c r="F27" s="134">
        <v>2</v>
      </c>
    </row>
    <row r="28" spans="2:6" ht="33" customHeight="1">
      <c r="B28" s="159">
        <v>4</v>
      </c>
      <c r="C28" s="147">
        <v>21</v>
      </c>
      <c r="D28" s="135" t="s">
        <v>296</v>
      </c>
      <c r="E28" s="135" t="s">
        <v>297</v>
      </c>
      <c r="F28" s="134">
        <v>0</v>
      </c>
    </row>
    <row r="29" spans="2:6" ht="33" customHeight="1">
      <c r="B29" s="159"/>
      <c r="C29" s="147">
        <v>22</v>
      </c>
      <c r="D29" s="135" t="s">
        <v>298</v>
      </c>
      <c r="E29" s="135" t="s">
        <v>299</v>
      </c>
      <c r="F29" s="134">
        <v>1</v>
      </c>
    </row>
    <row r="30" spans="2:6" ht="33" customHeight="1">
      <c r="B30" s="159"/>
      <c r="C30" s="147">
        <v>23</v>
      </c>
      <c r="D30" s="135" t="s">
        <v>300</v>
      </c>
      <c r="E30" s="135" t="s">
        <v>301</v>
      </c>
      <c r="F30" s="134">
        <v>0</v>
      </c>
    </row>
    <row r="31" spans="2:6" ht="33" customHeight="1">
      <c r="B31" s="159"/>
      <c r="C31" s="147">
        <v>24</v>
      </c>
      <c r="D31" s="135" t="s">
        <v>302</v>
      </c>
      <c r="E31" s="135" t="s">
        <v>303</v>
      </c>
      <c r="F31" s="134">
        <v>1</v>
      </c>
    </row>
    <row r="32" spans="2:6" ht="33" customHeight="1">
      <c r="B32" s="159"/>
      <c r="C32" s="147">
        <v>25</v>
      </c>
      <c r="D32" s="135" t="s">
        <v>304</v>
      </c>
      <c r="E32" s="135" t="s">
        <v>305</v>
      </c>
      <c r="F32" s="134">
        <v>0</v>
      </c>
    </row>
    <row r="33" spans="2:6" ht="33" customHeight="1">
      <c r="B33" s="159"/>
      <c r="C33" s="147">
        <v>26</v>
      </c>
      <c r="D33" s="135" t="s">
        <v>306</v>
      </c>
      <c r="E33" s="135" t="s">
        <v>307</v>
      </c>
      <c r="F33" s="134">
        <v>0</v>
      </c>
    </row>
    <row r="34" spans="2:6" ht="33" customHeight="1">
      <c r="B34" s="159"/>
      <c r="C34" s="147">
        <v>27</v>
      </c>
      <c r="D34" s="135" t="s">
        <v>308</v>
      </c>
      <c r="E34" s="135" t="s">
        <v>309</v>
      </c>
      <c r="F34" s="134">
        <v>2</v>
      </c>
    </row>
    <row r="35" spans="2:6" ht="33" customHeight="1">
      <c r="B35" s="159">
        <v>5</v>
      </c>
      <c r="C35" s="147">
        <v>28</v>
      </c>
      <c r="D35" s="135" t="s">
        <v>310</v>
      </c>
      <c r="E35" s="135" t="s">
        <v>311</v>
      </c>
      <c r="F35" s="134">
        <v>0</v>
      </c>
    </row>
    <row r="36" spans="2:6" ht="33" customHeight="1">
      <c r="B36" s="159"/>
      <c r="C36" s="147">
        <v>29</v>
      </c>
      <c r="D36" s="135" t="s">
        <v>312</v>
      </c>
      <c r="E36" s="135" t="s">
        <v>313</v>
      </c>
      <c r="F36" s="134">
        <v>3</v>
      </c>
    </row>
    <row r="37" spans="2:6" ht="33" customHeight="1">
      <c r="B37" s="159"/>
      <c r="C37" s="147">
        <v>30</v>
      </c>
      <c r="D37" s="135" t="s">
        <v>314</v>
      </c>
      <c r="E37" s="135" t="s">
        <v>315</v>
      </c>
      <c r="F37" s="134">
        <v>0</v>
      </c>
    </row>
    <row r="38" spans="2:6" ht="33" customHeight="1">
      <c r="B38" s="159"/>
      <c r="C38" s="147">
        <v>31</v>
      </c>
      <c r="D38" s="135" t="s">
        <v>316</v>
      </c>
      <c r="E38" s="135" t="s">
        <v>317</v>
      </c>
      <c r="F38" s="134">
        <v>3</v>
      </c>
    </row>
    <row r="39" spans="2:6" ht="33" customHeight="1">
      <c r="B39" s="159"/>
      <c r="C39" s="147">
        <v>32</v>
      </c>
      <c r="D39" s="135" t="s">
        <v>318</v>
      </c>
      <c r="E39" s="135" t="s">
        <v>319</v>
      </c>
      <c r="F39" s="134">
        <v>0</v>
      </c>
    </row>
    <row r="40" spans="2:6" ht="33" customHeight="1">
      <c r="B40" s="159"/>
      <c r="C40" s="147">
        <v>33</v>
      </c>
      <c r="D40" s="135" t="s">
        <v>320</v>
      </c>
      <c r="E40" s="135" t="s">
        <v>321</v>
      </c>
      <c r="F40" s="134">
        <v>2</v>
      </c>
    </row>
    <row r="41" spans="2:6" ht="33" customHeight="1">
      <c r="B41" s="159">
        <v>6</v>
      </c>
      <c r="C41" s="147">
        <v>34</v>
      </c>
      <c r="D41" s="135" t="s">
        <v>322</v>
      </c>
      <c r="E41" s="135" t="s">
        <v>323</v>
      </c>
      <c r="F41" s="134">
        <v>0</v>
      </c>
    </row>
    <row r="42" spans="2:6" ht="33" customHeight="1">
      <c r="B42" s="159"/>
      <c r="C42" s="147">
        <v>35</v>
      </c>
      <c r="D42" s="135" t="s">
        <v>324</v>
      </c>
      <c r="E42" s="135" t="s">
        <v>325</v>
      </c>
      <c r="F42" s="134">
        <v>0</v>
      </c>
    </row>
    <row r="43" spans="2:6" ht="33" customHeight="1">
      <c r="B43" s="159"/>
      <c r="C43" s="147">
        <v>36</v>
      </c>
      <c r="D43" s="135" t="s">
        <v>326</v>
      </c>
      <c r="E43" s="135" t="s">
        <v>327</v>
      </c>
      <c r="F43" s="134">
        <v>1</v>
      </c>
    </row>
    <row r="44" spans="2:6" ht="33" customHeight="1">
      <c r="B44" s="159"/>
      <c r="C44" s="147">
        <v>37</v>
      </c>
      <c r="D44" s="135" t="s">
        <v>328</v>
      </c>
      <c r="E44" s="135" t="s">
        <v>329</v>
      </c>
      <c r="F44" s="134">
        <v>0</v>
      </c>
    </row>
    <row r="45" spans="2:6" ht="33" customHeight="1">
      <c r="B45" s="159"/>
      <c r="C45" s="147">
        <v>38</v>
      </c>
      <c r="D45" s="135" t="s">
        <v>330</v>
      </c>
      <c r="E45" s="135" t="s">
        <v>331</v>
      </c>
      <c r="F45" s="134">
        <v>1</v>
      </c>
    </row>
    <row r="46" spans="2:6" ht="33" customHeight="1">
      <c r="B46" s="159"/>
      <c r="C46" s="147">
        <v>39</v>
      </c>
      <c r="D46" s="135" t="s">
        <v>332</v>
      </c>
      <c r="E46" s="135" t="s">
        <v>333</v>
      </c>
      <c r="F46" s="134">
        <v>2</v>
      </c>
    </row>
    <row r="47" spans="2:6" ht="34.5" customHeight="1">
      <c r="B47" s="139" t="s">
        <v>255</v>
      </c>
      <c r="C47" s="139"/>
      <c r="D47" s="139"/>
      <c r="E47" s="150">
        <f>F47/(C46*3)</f>
        <v>0.3247863247863248</v>
      </c>
      <c r="F47" s="139">
        <f>SUM(F8:F46)</f>
        <v>38</v>
      </c>
    </row>
  </sheetData>
  <mergeCells count="8">
    <mergeCell ref="B28:B34"/>
    <mergeCell ref="B35:B40"/>
    <mergeCell ref="B41:B46"/>
    <mergeCell ref="B3:F3"/>
    <mergeCell ref="B4:D5"/>
    <mergeCell ref="B8:B14"/>
    <mergeCell ref="B15:B20"/>
    <mergeCell ref="B21:B2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6D50-D083-42C4-BA2E-5BB238514564}">
  <dimension ref="B2:D41"/>
  <sheetViews>
    <sheetView workbookViewId="0">
      <selection activeCell="C3" sqref="C3:D3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16384" width="9" style="132"/>
  </cols>
  <sheetData>
    <row r="2" spans="2:4" ht="17.5" thickBot="1"/>
    <row r="3" spans="2:4" ht="32.25" customHeight="1">
      <c r="B3" s="140" t="s">
        <v>172</v>
      </c>
      <c r="C3" s="155" t="s">
        <v>741</v>
      </c>
      <c r="D3" s="156"/>
    </row>
    <row r="4" spans="2:4" ht="73.5" customHeight="1" thickBot="1">
      <c r="B4" s="141" t="s">
        <v>165</v>
      </c>
      <c r="C4" s="157"/>
      <c r="D4" s="158"/>
    </row>
    <row r="6" spans="2:4" s="131" customFormat="1" ht="33.75" customHeight="1">
      <c r="B6" s="139" t="s">
        <v>75</v>
      </c>
      <c r="C6" s="139" t="s">
        <v>186</v>
      </c>
      <c r="D6" s="99" t="s">
        <v>175</v>
      </c>
    </row>
    <row r="7" spans="2:4" ht="136">
      <c r="B7" s="134" t="s">
        <v>166</v>
      </c>
      <c r="C7" s="135" t="s">
        <v>187</v>
      </c>
      <c r="D7" s="136" t="s">
        <v>188</v>
      </c>
    </row>
    <row r="8" spans="2:4" ht="153">
      <c r="B8" s="134" t="s">
        <v>167</v>
      </c>
      <c r="C8" s="135" t="s">
        <v>189</v>
      </c>
      <c r="D8" s="136" t="s">
        <v>190</v>
      </c>
    </row>
    <row r="9" spans="2:4" ht="153">
      <c r="B9" s="134" t="s">
        <v>168</v>
      </c>
      <c r="C9" s="135" t="s">
        <v>195</v>
      </c>
      <c r="D9" s="136" t="s">
        <v>191</v>
      </c>
    </row>
    <row r="10" spans="2:4" ht="136">
      <c r="B10" s="134" t="s">
        <v>169</v>
      </c>
      <c r="C10" s="137" t="s">
        <v>196</v>
      </c>
      <c r="D10" s="136" t="s">
        <v>192</v>
      </c>
    </row>
    <row r="11" spans="2:4" ht="136">
      <c r="B11" s="134" t="s">
        <v>170</v>
      </c>
      <c r="C11" s="135" t="s">
        <v>197</v>
      </c>
      <c r="D11" s="136" t="s">
        <v>193</v>
      </c>
    </row>
    <row r="12" spans="2:4" ht="137.25" customHeight="1">
      <c r="B12" s="138" t="s">
        <v>171</v>
      </c>
      <c r="C12" s="135" t="s">
        <v>198</v>
      </c>
      <c r="D12" s="136" t="s">
        <v>194</v>
      </c>
    </row>
    <row r="13" spans="2:4" ht="32.25" customHeight="1"/>
    <row r="41" ht="29.25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E5F3-9EAE-4D91-B9E8-62D18A44CA9E}">
  <dimension ref="B2:F53"/>
  <sheetViews>
    <sheetView workbookViewId="0">
      <pane ySplit="7" topLeftCell="A37" activePane="bottomLeft" state="frozen"/>
      <selection pane="bottomLeft" activeCell="F56" sqref="F56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334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59">
        <v>1</v>
      </c>
      <c r="C8" s="147">
        <v>1</v>
      </c>
      <c r="D8" s="148" t="s">
        <v>335</v>
      </c>
      <c r="E8" s="148" t="s">
        <v>336</v>
      </c>
      <c r="F8" s="149">
        <v>1</v>
      </c>
    </row>
    <row r="9" spans="2:6" ht="33" customHeight="1">
      <c r="B9" s="159"/>
      <c r="C9" s="147">
        <v>2</v>
      </c>
      <c r="D9" s="148" t="s">
        <v>337</v>
      </c>
      <c r="E9" s="148" t="s">
        <v>338</v>
      </c>
      <c r="F9" s="149">
        <v>2</v>
      </c>
    </row>
    <row r="10" spans="2:6" ht="33" customHeight="1">
      <c r="B10" s="159"/>
      <c r="C10" s="147">
        <v>3</v>
      </c>
      <c r="D10" s="148" t="s">
        <v>339</v>
      </c>
      <c r="E10" s="148" t="s">
        <v>340</v>
      </c>
      <c r="F10" s="149">
        <v>2</v>
      </c>
    </row>
    <row r="11" spans="2:6" ht="33" customHeight="1">
      <c r="B11" s="159"/>
      <c r="C11" s="147">
        <v>4</v>
      </c>
      <c r="D11" s="148" t="s">
        <v>341</v>
      </c>
      <c r="E11" s="148" t="s">
        <v>342</v>
      </c>
      <c r="F11" s="149">
        <v>2</v>
      </c>
    </row>
    <row r="12" spans="2:6" ht="33" customHeight="1">
      <c r="B12" s="159"/>
      <c r="C12" s="147">
        <v>5</v>
      </c>
      <c r="D12" s="148" t="s">
        <v>343</v>
      </c>
      <c r="E12" s="148" t="s">
        <v>344</v>
      </c>
      <c r="F12" s="149">
        <v>0</v>
      </c>
    </row>
    <row r="13" spans="2:6" ht="33" customHeight="1">
      <c r="B13" s="159"/>
      <c r="C13" s="147">
        <v>6</v>
      </c>
      <c r="D13" s="148" t="s">
        <v>345</v>
      </c>
      <c r="E13" s="148" t="s">
        <v>346</v>
      </c>
      <c r="F13" s="149">
        <v>0</v>
      </c>
    </row>
    <row r="14" spans="2:6" ht="33" customHeight="1">
      <c r="B14" s="159"/>
      <c r="C14" s="147">
        <v>7</v>
      </c>
      <c r="D14" s="148" t="s">
        <v>347</v>
      </c>
      <c r="E14" s="148" t="s">
        <v>348</v>
      </c>
      <c r="F14" s="149">
        <v>0</v>
      </c>
    </row>
    <row r="15" spans="2:6" ht="33" customHeight="1">
      <c r="B15" s="159"/>
      <c r="C15" s="147">
        <v>8</v>
      </c>
      <c r="D15" s="135" t="s">
        <v>349</v>
      </c>
      <c r="E15" s="135" t="s">
        <v>350</v>
      </c>
      <c r="F15" s="134">
        <v>1</v>
      </c>
    </row>
    <row r="16" spans="2:6" ht="33" customHeight="1">
      <c r="B16" s="159">
        <v>2</v>
      </c>
      <c r="C16" s="147">
        <v>9</v>
      </c>
      <c r="D16" s="135" t="s">
        <v>351</v>
      </c>
      <c r="E16" s="135" t="s">
        <v>352</v>
      </c>
      <c r="F16" s="134">
        <v>2</v>
      </c>
    </row>
    <row r="17" spans="2:6" ht="33" customHeight="1">
      <c r="B17" s="159"/>
      <c r="C17" s="147">
        <v>10</v>
      </c>
      <c r="D17" s="135" t="s">
        <v>353</v>
      </c>
      <c r="E17" s="135" t="s">
        <v>354</v>
      </c>
      <c r="F17" s="134">
        <v>0</v>
      </c>
    </row>
    <row r="18" spans="2:6" ht="33" customHeight="1">
      <c r="B18" s="159"/>
      <c r="C18" s="147">
        <v>11</v>
      </c>
      <c r="D18" s="135" t="s">
        <v>355</v>
      </c>
      <c r="E18" s="135" t="s">
        <v>356</v>
      </c>
      <c r="F18" s="134">
        <v>0</v>
      </c>
    </row>
    <row r="19" spans="2:6" ht="33" customHeight="1">
      <c r="B19" s="159"/>
      <c r="C19" s="147">
        <v>12</v>
      </c>
      <c r="D19" s="135" t="s">
        <v>357</v>
      </c>
      <c r="E19" s="135" t="s">
        <v>358</v>
      </c>
      <c r="F19" s="134">
        <v>0</v>
      </c>
    </row>
    <row r="20" spans="2:6" ht="33" customHeight="1">
      <c r="B20" s="159"/>
      <c r="C20" s="147">
        <v>13</v>
      </c>
      <c r="D20" s="135" t="s">
        <v>359</v>
      </c>
      <c r="E20" s="135" t="s">
        <v>360</v>
      </c>
      <c r="F20" s="134">
        <v>0</v>
      </c>
    </row>
    <row r="21" spans="2:6" ht="33" customHeight="1">
      <c r="B21" s="159"/>
      <c r="C21" s="147">
        <v>14</v>
      </c>
      <c r="D21" s="135" t="s">
        <v>361</v>
      </c>
      <c r="E21" s="135" t="s">
        <v>362</v>
      </c>
      <c r="F21" s="134">
        <v>1</v>
      </c>
    </row>
    <row r="22" spans="2:6" ht="33" customHeight="1">
      <c r="B22" s="159"/>
      <c r="C22" s="147">
        <v>15</v>
      </c>
      <c r="D22" s="135" t="s">
        <v>363</v>
      </c>
      <c r="E22" s="135" t="s">
        <v>364</v>
      </c>
      <c r="F22" s="134">
        <v>0</v>
      </c>
    </row>
    <row r="23" spans="2:6" ht="33" customHeight="1">
      <c r="B23" s="159"/>
      <c r="C23" s="147">
        <v>16</v>
      </c>
      <c r="D23" s="135" t="s">
        <v>365</v>
      </c>
      <c r="E23" s="135" t="s">
        <v>366</v>
      </c>
      <c r="F23" s="134">
        <v>1</v>
      </c>
    </row>
    <row r="24" spans="2:6" ht="33" customHeight="1">
      <c r="B24" s="159">
        <v>3</v>
      </c>
      <c r="C24" s="147">
        <v>17</v>
      </c>
      <c r="D24" s="135" t="s">
        <v>367</v>
      </c>
      <c r="E24" s="135" t="s">
        <v>368</v>
      </c>
      <c r="F24" s="134">
        <v>1</v>
      </c>
    </row>
    <row r="25" spans="2:6" ht="33" customHeight="1">
      <c r="B25" s="159"/>
      <c r="C25" s="147">
        <v>18</v>
      </c>
      <c r="D25" s="135" t="s">
        <v>369</v>
      </c>
      <c r="E25" s="135" t="s">
        <v>370</v>
      </c>
      <c r="F25" s="134">
        <v>0</v>
      </c>
    </row>
    <row r="26" spans="2:6" ht="33" customHeight="1">
      <c r="B26" s="159"/>
      <c r="C26" s="147">
        <v>19</v>
      </c>
      <c r="D26" s="135" t="s">
        <v>371</v>
      </c>
      <c r="E26" s="135" t="s">
        <v>372</v>
      </c>
      <c r="F26" s="134">
        <v>1</v>
      </c>
    </row>
    <row r="27" spans="2:6" ht="33" customHeight="1">
      <c r="B27" s="159"/>
      <c r="C27" s="147">
        <v>20</v>
      </c>
      <c r="D27" s="135" t="s">
        <v>373</v>
      </c>
      <c r="E27" s="135" t="s">
        <v>374</v>
      </c>
      <c r="F27" s="134">
        <v>0</v>
      </c>
    </row>
    <row r="28" spans="2:6" ht="33" customHeight="1">
      <c r="B28" s="159"/>
      <c r="C28" s="147">
        <v>21</v>
      </c>
      <c r="D28" s="135" t="s">
        <v>375</v>
      </c>
      <c r="E28" s="151" t="s">
        <v>376</v>
      </c>
      <c r="F28" s="134">
        <v>0</v>
      </c>
    </row>
    <row r="29" spans="2:6" ht="33" customHeight="1">
      <c r="B29" s="159"/>
      <c r="C29" s="147">
        <v>22</v>
      </c>
      <c r="D29" s="135" t="s">
        <v>377</v>
      </c>
      <c r="E29" s="151" t="s">
        <v>378</v>
      </c>
      <c r="F29" s="134">
        <v>0</v>
      </c>
    </row>
    <row r="30" spans="2:6" ht="33" customHeight="1">
      <c r="B30" s="159"/>
      <c r="C30" s="147">
        <v>23</v>
      </c>
      <c r="D30" s="135" t="s">
        <v>379</v>
      </c>
      <c r="E30" s="135" t="s">
        <v>380</v>
      </c>
      <c r="F30" s="134">
        <v>0</v>
      </c>
    </row>
    <row r="31" spans="2:6" ht="33" customHeight="1">
      <c r="B31" s="159"/>
      <c r="C31" s="147">
        <v>24</v>
      </c>
      <c r="D31" s="135" t="s">
        <v>381</v>
      </c>
      <c r="E31" s="135" t="s">
        <v>382</v>
      </c>
      <c r="F31" s="134">
        <v>0</v>
      </c>
    </row>
    <row r="32" spans="2:6" ht="33" customHeight="1">
      <c r="B32" s="159">
        <v>4</v>
      </c>
      <c r="C32" s="147">
        <v>25</v>
      </c>
      <c r="D32" s="135" t="s">
        <v>383</v>
      </c>
      <c r="E32" s="135" t="s">
        <v>384</v>
      </c>
      <c r="F32" s="134">
        <v>3</v>
      </c>
    </row>
    <row r="33" spans="2:6" ht="33" customHeight="1">
      <c r="B33" s="159"/>
      <c r="C33" s="147">
        <v>26</v>
      </c>
      <c r="D33" s="135" t="s">
        <v>385</v>
      </c>
      <c r="E33" s="135" t="s">
        <v>386</v>
      </c>
      <c r="F33" s="134">
        <v>1</v>
      </c>
    </row>
    <row r="34" spans="2:6" ht="33" customHeight="1">
      <c r="B34" s="159"/>
      <c r="C34" s="147">
        <v>27</v>
      </c>
      <c r="D34" s="135" t="s">
        <v>387</v>
      </c>
      <c r="E34" s="135" t="s">
        <v>388</v>
      </c>
      <c r="F34" s="134">
        <v>0</v>
      </c>
    </row>
    <row r="35" spans="2:6" ht="33" customHeight="1">
      <c r="B35" s="159"/>
      <c r="C35" s="147">
        <v>28</v>
      </c>
      <c r="D35" s="135" t="s">
        <v>389</v>
      </c>
      <c r="E35" s="135" t="s">
        <v>390</v>
      </c>
      <c r="F35" s="134">
        <v>0</v>
      </c>
    </row>
    <row r="36" spans="2:6" ht="33" customHeight="1">
      <c r="B36" s="159"/>
      <c r="C36" s="147">
        <v>29</v>
      </c>
      <c r="D36" s="135" t="s">
        <v>391</v>
      </c>
      <c r="E36" s="135" t="s">
        <v>392</v>
      </c>
      <c r="F36" s="134">
        <v>0</v>
      </c>
    </row>
    <row r="37" spans="2:6" ht="33" customHeight="1">
      <c r="B37" s="159"/>
      <c r="C37" s="147">
        <v>30</v>
      </c>
      <c r="D37" s="135" t="s">
        <v>393</v>
      </c>
      <c r="E37" s="135" t="s">
        <v>394</v>
      </c>
      <c r="F37" s="134">
        <v>0</v>
      </c>
    </row>
    <row r="38" spans="2:6" ht="33" customHeight="1">
      <c r="B38" s="159"/>
      <c r="C38" s="147">
        <v>31</v>
      </c>
      <c r="D38" s="135" t="s">
        <v>395</v>
      </c>
      <c r="E38" s="135" t="s">
        <v>396</v>
      </c>
      <c r="F38" s="134">
        <v>0</v>
      </c>
    </row>
    <row r="39" spans="2:6" ht="33" customHeight="1">
      <c r="B39" s="159">
        <v>5</v>
      </c>
      <c r="C39" s="147">
        <v>32</v>
      </c>
      <c r="D39" s="135" t="s">
        <v>397</v>
      </c>
      <c r="E39" s="135" t="s">
        <v>398</v>
      </c>
      <c r="F39" s="134">
        <v>0</v>
      </c>
    </row>
    <row r="40" spans="2:6" ht="33" customHeight="1">
      <c r="B40" s="159"/>
      <c r="C40" s="147">
        <v>33</v>
      </c>
      <c r="D40" s="135" t="s">
        <v>399</v>
      </c>
      <c r="E40" s="135" t="s">
        <v>400</v>
      </c>
      <c r="F40" s="134">
        <v>0</v>
      </c>
    </row>
    <row r="41" spans="2:6" ht="33" customHeight="1">
      <c r="B41" s="159"/>
      <c r="C41" s="147">
        <v>34</v>
      </c>
      <c r="D41" s="135" t="s">
        <v>401</v>
      </c>
      <c r="E41" s="135" t="s">
        <v>402</v>
      </c>
      <c r="F41" s="134">
        <v>0</v>
      </c>
    </row>
    <row r="42" spans="2:6" ht="33" customHeight="1">
      <c r="B42" s="159"/>
      <c r="C42" s="147">
        <v>35</v>
      </c>
      <c r="D42" s="135" t="s">
        <v>403</v>
      </c>
      <c r="E42" s="135" t="s">
        <v>404</v>
      </c>
      <c r="F42" s="134">
        <v>0</v>
      </c>
    </row>
    <row r="43" spans="2:6" ht="33" customHeight="1">
      <c r="B43" s="159"/>
      <c r="C43" s="147">
        <v>36</v>
      </c>
      <c r="D43" s="135" t="s">
        <v>405</v>
      </c>
      <c r="E43" s="135" t="s">
        <v>406</v>
      </c>
      <c r="F43" s="134">
        <v>0</v>
      </c>
    </row>
    <row r="44" spans="2:6" ht="33" customHeight="1">
      <c r="B44" s="159"/>
      <c r="C44" s="147">
        <v>37</v>
      </c>
      <c r="D44" s="135" t="s">
        <v>407</v>
      </c>
      <c r="E44" s="135" t="s">
        <v>408</v>
      </c>
      <c r="F44" s="134">
        <v>0</v>
      </c>
    </row>
    <row r="45" spans="2:6" ht="33" customHeight="1">
      <c r="B45" s="159"/>
      <c r="C45" s="147">
        <v>38</v>
      </c>
      <c r="D45" s="135" t="s">
        <v>409</v>
      </c>
      <c r="E45" s="135" t="s">
        <v>410</v>
      </c>
      <c r="F45" s="134">
        <v>0</v>
      </c>
    </row>
    <row r="46" spans="2:6" ht="33" customHeight="1">
      <c r="B46" s="159">
        <v>6</v>
      </c>
      <c r="C46" s="147">
        <v>39</v>
      </c>
      <c r="D46" s="135" t="s">
        <v>411</v>
      </c>
      <c r="E46" s="135" t="s">
        <v>412</v>
      </c>
      <c r="F46" s="134">
        <v>0</v>
      </c>
    </row>
    <row r="47" spans="2:6" ht="33" customHeight="1">
      <c r="B47" s="159"/>
      <c r="C47" s="147">
        <v>40</v>
      </c>
      <c r="D47" s="135" t="s">
        <v>413</v>
      </c>
      <c r="E47" s="135" t="s">
        <v>414</v>
      </c>
      <c r="F47" s="134">
        <v>0</v>
      </c>
    </row>
    <row r="48" spans="2:6" ht="33" customHeight="1">
      <c r="B48" s="159"/>
      <c r="C48" s="147">
        <v>41</v>
      </c>
      <c r="D48" s="135" t="s">
        <v>415</v>
      </c>
      <c r="E48" s="135" t="s">
        <v>416</v>
      </c>
      <c r="F48" s="134">
        <v>0</v>
      </c>
    </row>
    <row r="49" spans="2:6" ht="33" customHeight="1">
      <c r="B49" s="159"/>
      <c r="C49" s="147">
        <v>42</v>
      </c>
      <c r="D49" s="135" t="s">
        <v>417</v>
      </c>
      <c r="E49" s="135" t="s">
        <v>418</v>
      </c>
      <c r="F49" s="134">
        <v>0</v>
      </c>
    </row>
    <row r="50" spans="2:6" ht="33" customHeight="1">
      <c r="B50" s="159"/>
      <c r="C50" s="147">
        <v>43</v>
      </c>
      <c r="D50" s="135" t="s">
        <v>419</v>
      </c>
      <c r="E50" s="135" t="s">
        <v>420</v>
      </c>
      <c r="F50" s="134">
        <v>0</v>
      </c>
    </row>
    <row r="51" spans="2:6" ht="33" customHeight="1">
      <c r="B51" s="159"/>
      <c r="C51" s="147">
        <v>44</v>
      </c>
      <c r="D51" s="135" t="s">
        <v>421</v>
      </c>
      <c r="E51" s="135" t="s">
        <v>422</v>
      </c>
      <c r="F51" s="134">
        <v>0</v>
      </c>
    </row>
    <row r="52" spans="2:6" ht="33" customHeight="1">
      <c r="B52" s="159"/>
      <c r="C52" s="147">
        <v>45</v>
      </c>
      <c r="D52" s="135" t="s">
        <v>423</v>
      </c>
      <c r="E52" s="135" t="s">
        <v>424</v>
      </c>
      <c r="F52" s="134">
        <v>0</v>
      </c>
    </row>
    <row r="53" spans="2:6" ht="34.5" customHeight="1">
      <c r="B53" s="139" t="s">
        <v>255</v>
      </c>
      <c r="C53" s="139"/>
      <c r="D53" s="139"/>
      <c r="E53" s="150">
        <f>F53/(C52*3)</f>
        <v>0.13333333333333333</v>
      </c>
      <c r="F53" s="139">
        <f>SUM(F8:F52)</f>
        <v>18</v>
      </c>
    </row>
  </sheetData>
  <mergeCells count="8">
    <mergeCell ref="B46:B52"/>
    <mergeCell ref="B3:F3"/>
    <mergeCell ref="B4:D5"/>
    <mergeCell ref="B8:B15"/>
    <mergeCell ref="B16:B23"/>
    <mergeCell ref="B24:B31"/>
    <mergeCell ref="B32:B38"/>
    <mergeCell ref="B39:B4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15DB-0442-4378-B5E5-FF09D75D663D}">
  <dimension ref="B2:F43"/>
  <sheetViews>
    <sheetView topLeftCell="A5" workbookViewId="0">
      <selection activeCell="D8" sqref="D8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5" width="9" style="132"/>
    <col min="6" max="6" width="24.25" style="132" customWidth="1"/>
    <col min="7" max="16384" width="9" style="132"/>
  </cols>
  <sheetData>
    <row r="2" spans="2:6" ht="17.5" thickBot="1"/>
    <row r="3" spans="2:6" ht="32.25" customHeight="1">
      <c r="B3" s="140" t="s">
        <v>172</v>
      </c>
      <c r="C3" s="155" t="s">
        <v>739</v>
      </c>
      <c r="D3" s="156"/>
      <c r="F3" s="142"/>
    </row>
    <row r="4" spans="2:6" ht="71.25" customHeight="1" thickBot="1">
      <c r="B4" s="141" t="s">
        <v>165</v>
      </c>
      <c r="C4" s="157"/>
      <c r="D4" s="158"/>
      <c r="F4" s="142"/>
    </row>
    <row r="6" spans="2:6" s="131" customFormat="1" ht="33.75" customHeight="1">
      <c r="B6" s="139" t="s">
        <v>75</v>
      </c>
      <c r="C6" s="139" t="s">
        <v>186</v>
      </c>
      <c r="D6" s="99" t="s">
        <v>175</v>
      </c>
      <c r="F6" s="143"/>
    </row>
    <row r="7" spans="2:6" ht="102">
      <c r="B7" s="134" t="s">
        <v>166</v>
      </c>
      <c r="C7" s="135" t="s">
        <v>199</v>
      </c>
      <c r="D7" s="136" t="s">
        <v>200</v>
      </c>
      <c r="F7" s="144"/>
    </row>
    <row r="8" spans="2:6" ht="119">
      <c r="B8" s="134" t="s">
        <v>167</v>
      </c>
      <c r="C8" s="135" t="s">
        <v>201</v>
      </c>
      <c r="D8" s="136" t="s">
        <v>202</v>
      </c>
      <c r="F8" s="144"/>
    </row>
    <row r="9" spans="2:6" ht="136">
      <c r="B9" s="134" t="s">
        <v>168</v>
      </c>
      <c r="C9" s="135" t="s">
        <v>203</v>
      </c>
      <c r="D9" s="136" t="s">
        <v>204</v>
      </c>
      <c r="F9" s="144"/>
    </row>
    <row r="10" spans="2:6" ht="136">
      <c r="B10" s="134" t="s">
        <v>169</v>
      </c>
      <c r="C10" s="137" t="s">
        <v>205</v>
      </c>
      <c r="D10" s="136" t="s">
        <v>206</v>
      </c>
      <c r="F10" s="144"/>
    </row>
    <row r="11" spans="2:6" ht="136">
      <c r="B11" s="134" t="s">
        <v>170</v>
      </c>
      <c r="C11" s="135" t="s">
        <v>207</v>
      </c>
      <c r="D11" s="136" t="s">
        <v>208</v>
      </c>
      <c r="F11" s="144"/>
    </row>
    <row r="12" spans="2:6" ht="137.25" customHeight="1">
      <c r="B12" s="138" t="s">
        <v>171</v>
      </c>
      <c r="C12" s="135" t="s">
        <v>209</v>
      </c>
      <c r="D12" s="136" t="s">
        <v>210</v>
      </c>
      <c r="F12" s="144"/>
    </row>
    <row r="13" spans="2:6" ht="32.25" customHeight="1">
      <c r="F13" s="131"/>
    </row>
    <row r="43" ht="34.5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F29D-B02B-4E9C-B4E2-01E0A629B7E6}">
  <dimension ref="B2:F47"/>
  <sheetViews>
    <sheetView workbookViewId="0">
      <pane ySplit="7" topLeftCell="A8" activePane="bottomLeft" state="frozen"/>
      <selection pane="bottomLeft" activeCell="F47" sqref="F47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503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70">
        <v>1</v>
      </c>
      <c r="C8" s="147">
        <v>1</v>
      </c>
      <c r="D8" s="135" t="s">
        <v>425</v>
      </c>
      <c r="E8" s="135" t="s">
        <v>426</v>
      </c>
      <c r="F8" s="134">
        <v>1</v>
      </c>
    </row>
    <row r="9" spans="2:6" ht="33" customHeight="1">
      <c r="B9" s="171"/>
      <c r="C9" s="147">
        <v>2</v>
      </c>
      <c r="D9" s="135" t="s">
        <v>427</v>
      </c>
      <c r="E9" s="135" t="s">
        <v>428</v>
      </c>
      <c r="F9" s="134">
        <v>1</v>
      </c>
    </row>
    <row r="10" spans="2:6" ht="33" customHeight="1">
      <c r="B10" s="171"/>
      <c r="C10" s="147">
        <v>3</v>
      </c>
      <c r="D10" s="135" t="s">
        <v>429</v>
      </c>
      <c r="E10" s="135" t="s">
        <v>430</v>
      </c>
      <c r="F10" s="134">
        <v>0</v>
      </c>
    </row>
    <row r="11" spans="2:6" ht="33" customHeight="1">
      <c r="B11" s="171"/>
      <c r="C11" s="147">
        <v>4</v>
      </c>
      <c r="D11" s="135" t="s">
        <v>431</v>
      </c>
      <c r="E11" s="151" t="s">
        <v>432</v>
      </c>
      <c r="F11" s="134">
        <v>2</v>
      </c>
    </row>
    <row r="12" spans="2:6" ht="33" customHeight="1">
      <c r="B12" s="171"/>
      <c r="C12" s="147">
        <v>5</v>
      </c>
      <c r="D12" s="135" t="s">
        <v>433</v>
      </c>
      <c r="E12" s="135" t="s">
        <v>434</v>
      </c>
      <c r="F12" s="134">
        <v>2</v>
      </c>
    </row>
    <row r="13" spans="2:6" ht="33" customHeight="1">
      <c r="B13" s="172"/>
      <c r="C13" s="147">
        <v>6</v>
      </c>
      <c r="D13" s="135" t="s">
        <v>435</v>
      </c>
      <c r="E13" s="135" t="s">
        <v>436</v>
      </c>
      <c r="F13" s="134">
        <v>2</v>
      </c>
    </row>
    <row r="14" spans="2:6" ht="33" customHeight="1">
      <c r="B14" s="170">
        <v>2</v>
      </c>
      <c r="C14" s="147">
        <v>7</v>
      </c>
      <c r="D14" s="135" t="s">
        <v>437</v>
      </c>
      <c r="E14" s="135" t="s">
        <v>438</v>
      </c>
      <c r="F14" s="134">
        <v>0</v>
      </c>
    </row>
    <row r="15" spans="2:6" ht="33" customHeight="1">
      <c r="B15" s="171"/>
      <c r="C15" s="147">
        <v>8</v>
      </c>
      <c r="D15" s="135" t="s">
        <v>439</v>
      </c>
      <c r="E15" s="135" t="s">
        <v>440</v>
      </c>
      <c r="F15" s="134">
        <v>0</v>
      </c>
    </row>
    <row r="16" spans="2:6" ht="33" customHeight="1">
      <c r="B16" s="171"/>
      <c r="C16" s="147">
        <v>9</v>
      </c>
      <c r="D16" s="135" t="s">
        <v>441</v>
      </c>
      <c r="E16" s="135" t="s">
        <v>442</v>
      </c>
      <c r="F16" s="134">
        <v>2</v>
      </c>
    </row>
    <row r="17" spans="2:6" ht="33" customHeight="1">
      <c r="B17" s="171"/>
      <c r="C17" s="147">
        <v>10</v>
      </c>
      <c r="D17" s="135" t="s">
        <v>443</v>
      </c>
      <c r="E17" s="135" t="s">
        <v>444</v>
      </c>
      <c r="F17" s="134">
        <v>0</v>
      </c>
    </row>
    <row r="18" spans="2:6" ht="33" customHeight="1">
      <c r="B18" s="171"/>
      <c r="C18" s="147">
        <v>11</v>
      </c>
      <c r="D18" s="135" t="s">
        <v>445</v>
      </c>
      <c r="E18" s="135" t="s">
        <v>446</v>
      </c>
      <c r="F18" s="134">
        <v>0</v>
      </c>
    </row>
    <row r="19" spans="2:6" ht="33" customHeight="1">
      <c r="B19" s="172"/>
      <c r="C19" s="147">
        <v>12</v>
      </c>
      <c r="D19" s="135" t="s">
        <v>447</v>
      </c>
      <c r="E19" s="135" t="s">
        <v>448</v>
      </c>
      <c r="F19" s="134">
        <v>0</v>
      </c>
    </row>
    <row r="20" spans="2:6" ht="33" customHeight="1">
      <c r="B20" s="170">
        <v>3</v>
      </c>
      <c r="C20" s="147">
        <v>13</v>
      </c>
      <c r="D20" s="135" t="s">
        <v>449</v>
      </c>
      <c r="E20" s="135" t="s">
        <v>450</v>
      </c>
      <c r="F20" s="134">
        <v>1</v>
      </c>
    </row>
    <row r="21" spans="2:6" ht="33" customHeight="1">
      <c r="B21" s="171"/>
      <c r="C21" s="147">
        <v>14</v>
      </c>
      <c r="D21" s="135" t="s">
        <v>451</v>
      </c>
      <c r="E21" s="135" t="s">
        <v>452</v>
      </c>
      <c r="F21" s="134">
        <v>0</v>
      </c>
    </row>
    <row r="22" spans="2:6" ht="33" customHeight="1">
      <c r="B22" s="171"/>
      <c r="C22" s="147">
        <v>15</v>
      </c>
      <c r="D22" s="135" t="s">
        <v>453</v>
      </c>
      <c r="E22" s="135" t="s">
        <v>454</v>
      </c>
      <c r="F22" s="134">
        <v>0</v>
      </c>
    </row>
    <row r="23" spans="2:6" ht="33" customHeight="1">
      <c r="B23" s="171"/>
      <c r="C23" s="147">
        <v>16</v>
      </c>
      <c r="D23" s="135" t="s">
        <v>455</v>
      </c>
      <c r="E23" s="135" t="s">
        <v>456</v>
      </c>
      <c r="F23" s="134">
        <v>0</v>
      </c>
    </row>
    <row r="24" spans="2:6" ht="33" customHeight="1">
      <c r="B24" s="171"/>
      <c r="C24" s="147">
        <v>17</v>
      </c>
      <c r="D24" s="135" t="s">
        <v>457</v>
      </c>
      <c r="E24" s="135" t="s">
        <v>458</v>
      </c>
      <c r="F24" s="134">
        <v>1</v>
      </c>
    </row>
    <row r="25" spans="2:6" ht="33" customHeight="1">
      <c r="B25" s="171"/>
      <c r="C25" s="147">
        <v>18</v>
      </c>
      <c r="D25" s="135" t="s">
        <v>459</v>
      </c>
      <c r="E25" s="135" t="s">
        <v>460</v>
      </c>
      <c r="F25" s="134">
        <v>1</v>
      </c>
    </row>
    <row r="26" spans="2:6" ht="33" customHeight="1">
      <c r="B26" s="172"/>
      <c r="C26" s="147">
        <v>19</v>
      </c>
      <c r="D26" s="135" t="s">
        <v>461</v>
      </c>
      <c r="E26" s="135" t="s">
        <v>462</v>
      </c>
      <c r="F26" s="134">
        <v>0</v>
      </c>
    </row>
    <row r="27" spans="2:6" ht="33" customHeight="1">
      <c r="B27" s="170">
        <v>4</v>
      </c>
      <c r="C27" s="147">
        <v>20</v>
      </c>
      <c r="D27" s="135" t="s">
        <v>463</v>
      </c>
      <c r="E27" s="135" t="s">
        <v>464</v>
      </c>
      <c r="F27" s="134">
        <v>0</v>
      </c>
    </row>
    <row r="28" spans="2:6" ht="33" customHeight="1">
      <c r="B28" s="171"/>
      <c r="C28" s="147">
        <v>21</v>
      </c>
      <c r="D28" s="135" t="s">
        <v>465</v>
      </c>
      <c r="E28" s="135" t="s">
        <v>466</v>
      </c>
      <c r="F28" s="134">
        <v>1</v>
      </c>
    </row>
    <row r="29" spans="2:6" ht="33" customHeight="1">
      <c r="B29" s="171"/>
      <c r="C29" s="147">
        <v>22</v>
      </c>
      <c r="D29" s="135" t="s">
        <v>467</v>
      </c>
      <c r="E29" s="135" t="s">
        <v>468</v>
      </c>
      <c r="F29" s="134">
        <v>0</v>
      </c>
    </row>
    <row r="30" spans="2:6" ht="33" customHeight="1">
      <c r="B30" s="171"/>
      <c r="C30" s="147">
        <v>23</v>
      </c>
      <c r="D30" s="135" t="s">
        <v>469</v>
      </c>
      <c r="E30" s="135" t="s">
        <v>470</v>
      </c>
      <c r="F30" s="134">
        <v>0</v>
      </c>
    </row>
    <row r="31" spans="2:6" ht="33" customHeight="1">
      <c r="B31" s="171"/>
      <c r="C31" s="147">
        <v>24</v>
      </c>
      <c r="D31" s="135" t="s">
        <v>471</v>
      </c>
      <c r="E31" s="135" t="s">
        <v>472</v>
      </c>
      <c r="F31" s="134">
        <v>1</v>
      </c>
    </row>
    <row r="32" spans="2:6" ht="33" customHeight="1">
      <c r="B32" s="171"/>
      <c r="C32" s="147">
        <v>25</v>
      </c>
      <c r="D32" s="135" t="s">
        <v>473</v>
      </c>
      <c r="E32" s="135" t="s">
        <v>474</v>
      </c>
      <c r="F32" s="134">
        <v>0</v>
      </c>
    </row>
    <row r="33" spans="2:6" ht="33" customHeight="1">
      <c r="B33" s="172"/>
      <c r="C33" s="147">
        <v>26</v>
      </c>
      <c r="D33" s="135" t="s">
        <v>475</v>
      </c>
      <c r="E33" s="135" t="s">
        <v>476</v>
      </c>
      <c r="F33" s="134">
        <v>0</v>
      </c>
    </row>
    <row r="34" spans="2:6" ht="33" customHeight="1">
      <c r="B34" s="170">
        <v>5</v>
      </c>
      <c r="C34" s="147">
        <v>27</v>
      </c>
      <c r="D34" s="135" t="s">
        <v>477</v>
      </c>
      <c r="E34" s="135" t="s">
        <v>478</v>
      </c>
      <c r="F34" s="134">
        <v>2</v>
      </c>
    </row>
    <row r="35" spans="2:6" ht="33" customHeight="1">
      <c r="B35" s="171"/>
      <c r="C35" s="147">
        <v>28</v>
      </c>
      <c r="D35" s="135" t="s">
        <v>479</v>
      </c>
      <c r="E35" s="135" t="s">
        <v>480</v>
      </c>
      <c r="F35" s="134">
        <v>1</v>
      </c>
    </row>
    <row r="36" spans="2:6" ht="33" customHeight="1">
      <c r="B36" s="171"/>
      <c r="C36" s="147">
        <v>29</v>
      </c>
      <c r="D36" s="135" t="s">
        <v>481</v>
      </c>
      <c r="E36" s="135" t="s">
        <v>482</v>
      </c>
      <c r="F36" s="134">
        <v>0</v>
      </c>
    </row>
    <row r="37" spans="2:6" ht="33" customHeight="1">
      <c r="B37" s="171"/>
      <c r="C37" s="147">
        <v>30</v>
      </c>
      <c r="D37" s="135" t="s">
        <v>483</v>
      </c>
      <c r="E37" s="135" t="s">
        <v>484</v>
      </c>
      <c r="F37" s="134">
        <v>0</v>
      </c>
    </row>
    <row r="38" spans="2:6" ht="33" customHeight="1">
      <c r="B38" s="171"/>
      <c r="C38" s="147">
        <v>31</v>
      </c>
      <c r="D38" s="135" t="s">
        <v>485</v>
      </c>
      <c r="E38" s="135" t="s">
        <v>486</v>
      </c>
      <c r="F38" s="134">
        <v>1</v>
      </c>
    </row>
    <row r="39" spans="2:6" ht="33" customHeight="1">
      <c r="B39" s="171"/>
      <c r="C39" s="147">
        <v>32</v>
      </c>
      <c r="D39" s="135" t="s">
        <v>487</v>
      </c>
      <c r="E39" s="135" t="s">
        <v>488</v>
      </c>
      <c r="F39" s="134">
        <v>0</v>
      </c>
    </row>
    <row r="40" spans="2:6" ht="33" customHeight="1">
      <c r="B40" s="172"/>
      <c r="C40" s="147">
        <v>33</v>
      </c>
      <c r="D40" s="135" t="s">
        <v>489</v>
      </c>
      <c r="E40" s="135" t="s">
        <v>490</v>
      </c>
      <c r="F40" s="134">
        <v>1</v>
      </c>
    </row>
    <row r="41" spans="2:6" ht="33" customHeight="1">
      <c r="B41" s="170">
        <v>6</v>
      </c>
      <c r="C41" s="147">
        <v>34</v>
      </c>
      <c r="D41" s="135" t="s">
        <v>491</v>
      </c>
      <c r="E41" s="135" t="s">
        <v>492</v>
      </c>
      <c r="F41" s="134">
        <v>0</v>
      </c>
    </row>
    <row r="42" spans="2:6" ht="33" customHeight="1">
      <c r="B42" s="171"/>
      <c r="C42" s="147">
        <v>35</v>
      </c>
      <c r="D42" s="135" t="s">
        <v>493</v>
      </c>
      <c r="E42" s="135" t="s">
        <v>494</v>
      </c>
      <c r="F42" s="134">
        <v>0</v>
      </c>
    </row>
    <row r="43" spans="2:6" ht="33" customHeight="1">
      <c r="B43" s="171"/>
      <c r="C43" s="147">
        <v>36</v>
      </c>
      <c r="D43" s="135" t="s">
        <v>495</v>
      </c>
      <c r="E43" s="135" t="s">
        <v>496</v>
      </c>
      <c r="F43" s="134">
        <v>1</v>
      </c>
    </row>
    <row r="44" spans="2:6" ht="33" customHeight="1">
      <c r="B44" s="171"/>
      <c r="C44" s="147">
        <v>37</v>
      </c>
      <c r="D44" s="135" t="s">
        <v>497</v>
      </c>
      <c r="E44" s="135" t="s">
        <v>498</v>
      </c>
      <c r="F44" s="134">
        <v>0</v>
      </c>
    </row>
    <row r="45" spans="2:6" ht="33" customHeight="1">
      <c r="B45" s="171"/>
      <c r="C45" s="147">
        <v>38</v>
      </c>
      <c r="D45" s="135" t="s">
        <v>499</v>
      </c>
      <c r="E45" s="135" t="s">
        <v>500</v>
      </c>
      <c r="F45" s="134">
        <v>0</v>
      </c>
    </row>
    <row r="46" spans="2:6" ht="33" customHeight="1">
      <c r="B46" s="172"/>
      <c r="C46" s="147">
        <v>39</v>
      </c>
      <c r="D46" s="135" t="s">
        <v>501</v>
      </c>
      <c r="E46" s="135" t="s">
        <v>502</v>
      </c>
      <c r="F46" s="134">
        <v>0</v>
      </c>
    </row>
    <row r="47" spans="2:6" ht="34.5" customHeight="1">
      <c r="B47" s="139" t="s">
        <v>255</v>
      </c>
      <c r="C47" s="139"/>
      <c r="D47" s="139"/>
      <c r="E47" s="150">
        <f>F47/(C46*3)</f>
        <v>0.17948717948717949</v>
      </c>
      <c r="F47" s="139">
        <f>SUM(F8:F46)</f>
        <v>21</v>
      </c>
    </row>
  </sheetData>
  <mergeCells count="8">
    <mergeCell ref="B41:B46"/>
    <mergeCell ref="B3:F3"/>
    <mergeCell ref="B4:D5"/>
    <mergeCell ref="B8:B13"/>
    <mergeCell ref="B14:B19"/>
    <mergeCell ref="B20:B26"/>
    <mergeCell ref="B27:B33"/>
    <mergeCell ref="B34:B4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918C-FE73-448A-B8EB-59F27AA0D83D}">
  <dimension ref="B2:G33"/>
  <sheetViews>
    <sheetView workbookViewId="0">
      <selection activeCell="E11" sqref="E11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6" width="9" style="132"/>
    <col min="7" max="7" width="24.25" style="132" customWidth="1"/>
    <col min="8" max="16384" width="9" style="132"/>
  </cols>
  <sheetData>
    <row r="2" spans="2:7" ht="17.5" thickBot="1"/>
    <row r="3" spans="2:7" ht="32.25" customHeight="1">
      <c r="B3" s="140" t="s">
        <v>172</v>
      </c>
      <c r="C3" s="155" t="s">
        <v>742</v>
      </c>
      <c r="D3" s="156"/>
      <c r="G3" s="142"/>
    </row>
    <row r="4" spans="2:7" ht="64.5" customHeight="1" thickBot="1">
      <c r="B4" s="141" t="s">
        <v>165</v>
      </c>
      <c r="C4" s="157"/>
      <c r="D4" s="158"/>
      <c r="G4" s="142"/>
    </row>
    <row r="6" spans="2:7" s="131" customFormat="1" ht="33.75" customHeight="1">
      <c r="B6" s="139" t="s">
        <v>75</v>
      </c>
      <c r="C6" s="139" t="s">
        <v>186</v>
      </c>
      <c r="D6" s="99" t="s">
        <v>175</v>
      </c>
      <c r="G6" s="143"/>
    </row>
    <row r="7" spans="2:7" ht="102">
      <c r="B7" s="134" t="s">
        <v>166</v>
      </c>
      <c r="C7" s="135" t="s">
        <v>211</v>
      </c>
      <c r="D7" s="136" t="s">
        <v>217</v>
      </c>
      <c r="G7" s="144"/>
    </row>
    <row r="8" spans="2:7" ht="136">
      <c r="B8" s="134" t="s">
        <v>167</v>
      </c>
      <c r="C8" s="135" t="s">
        <v>212</v>
      </c>
      <c r="D8" s="136" t="s">
        <v>218</v>
      </c>
      <c r="G8" s="144"/>
    </row>
    <row r="9" spans="2:7" ht="136">
      <c r="B9" s="134" t="s">
        <v>168</v>
      </c>
      <c r="C9" s="135" t="s">
        <v>213</v>
      </c>
      <c r="D9" s="136" t="s">
        <v>219</v>
      </c>
      <c r="G9" s="144"/>
    </row>
    <row r="10" spans="2:7" ht="136">
      <c r="B10" s="134" t="s">
        <v>169</v>
      </c>
      <c r="C10" s="137" t="s">
        <v>214</v>
      </c>
      <c r="D10" s="136" t="s">
        <v>234</v>
      </c>
      <c r="G10" s="144"/>
    </row>
    <row r="11" spans="2:7" ht="136">
      <c r="B11" s="134" t="s">
        <v>170</v>
      </c>
      <c r="C11" s="135" t="s">
        <v>215</v>
      </c>
      <c r="D11" s="136" t="s">
        <v>220</v>
      </c>
      <c r="G11" s="144"/>
    </row>
    <row r="12" spans="2:7" ht="137.25" customHeight="1">
      <c r="B12" s="138" t="s">
        <v>171</v>
      </c>
      <c r="C12" s="135" t="s">
        <v>216</v>
      </c>
      <c r="D12" s="136" t="s">
        <v>221</v>
      </c>
      <c r="G12" s="144"/>
    </row>
    <row r="13" spans="2:7" ht="32.25" customHeight="1">
      <c r="G13" s="131"/>
    </row>
    <row r="33" ht="32.25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782-BAFC-4007-9277-53C69192A89B}">
  <dimension ref="B2:F47"/>
  <sheetViews>
    <sheetView workbookViewId="0">
      <pane ySplit="7" topLeftCell="A31" activePane="bottomLeft" state="frozen"/>
      <selection pane="bottomLeft" activeCell="F50" sqref="F50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504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59">
        <v>1</v>
      </c>
      <c r="C8" s="147">
        <v>1</v>
      </c>
      <c r="D8" s="135" t="s">
        <v>505</v>
      </c>
      <c r="E8" s="135" t="s">
        <v>506</v>
      </c>
      <c r="F8" s="134">
        <v>1</v>
      </c>
    </row>
    <row r="9" spans="2:6" ht="33" customHeight="1">
      <c r="B9" s="159"/>
      <c r="C9" s="147">
        <v>2</v>
      </c>
      <c r="D9" s="135" t="s">
        <v>507</v>
      </c>
      <c r="E9" s="135" t="s">
        <v>508</v>
      </c>
      <c r="F9" s="134">
        <v>0</v>
      </c>
    </row>
    <row r="10" spans="2:6" ht="33" customHeight="1">
      <c r="B10" s="159"/>
      <c r="C10" s="147">
        <v>3</v>
      </c>
      <c r="D10" s="135" t="s">
        <v>509</v>
      </c>
      <c r="E10" s="135" t="s">
        <v>510</v>
      </c>
      <c r="F10" s="134">
        <v>0</v>
      </c>
    </row>
    <row r="11" spans="2:6" ht="33" customHeight="1">
      <c r="B11" s="159"/>
      <c r="C11" s="147">
        <v>4</v>
      </c>
      <c r="D11" s="135" t="s">
        <v>511</v>
      </c>
      <c r="E11" s="151" t="s">
        <v>512</v>
      </c>
      <c r="F11" s="134">
        <v>2</v>
      </c>
    </row>
    <row r="12" spans="2:6" ht="33" customHeight="1">
      <c r="B12" s="159"/>
      <c r="C12" s="147">
        <v>5</v>
      </c>
      <c r="D12" s="135" t="s">
        <v>513</v>
      </c>
      <c r="E12" s="135" t="s">
        <v>514</v>
      </c>
      <c r="F12" s="134">
        <v>2</v>
      </c>
    </row>
    <row r="13" spans="2:6" ht="33" customHeight="1">
      <c r="B13" s="159"/>
      <c r="C13" s="147">
        <v>6</v>
      </c>
      <c r="D13" s="135" t="s">
        <v>515</v>
      </c>
      <c r="E13" s="135" t="s">
        <v>516</v>
      </c>
      <c r="F13" s="134">
        <v>0</v>
      </c>
    </row>
    <row r="14" spans="2:6" ht="33" customHeight="1">
      <c r="B14" s="159">
        <v>2</v>
      </c>
      <c r="C14" s="147">
        <v>7</v>
      </c>
      <c r="D14" s="135" t="s">
        <v>517</v>
      </c>
      <c r="E14" s="135" t="s">
        <v>518</v>
      </c>
      <c r="F14" s="134">
        <v>0</v>
      </c>
    </row>
    <row r="15" spans="2:6" ht="33" customHeight="1">
      <c r="B15" s="159"/>
      <c r="C15" s="147">
        <v>8</v>
      </c>
      <c r="D15" s="135" t="s">
        <v>519</v>
      </c>
      <c r="E15" s="135" t="s">
        <v>520</v>
      </c>
      <c r="F15" s="134">
        <v>0</v>
      </c>
    </row>
    <row r="16" spans="2:6" ht="33" customHeight="1">
      <c r="B16" s="159"/>
      <c r="C16" s="147">
        <v>9</v>
      </c>
      <c r="D16" s="135" t="s">
        <v>521</v>
      </c>
      <c r="E16" s="135" t="s">
        <v>522</v>
      </c>
      <c r="F16" s="134">
        <v>0</v>
      </c>
    </row>
    <row r="17" spans="2:6" ht="33" customHeight="1">
      <c r="B17" s="159"/>
      <c r="C17" s="147">
        <v>10</v>
      </c>
      <c r="D17" s="135" t="s">
        <v>523</v>
      </c>
      <c r="E17" s="135" t="s">
        <v>524</v>
      </c>
      <c r="F17" s="134">
        <v>0</v>
      </c>
    </row>
    <row r="18" spans="2:6" ht="33" customHeight="1">
      <c r="B18" s="159"/>
      <c r="C18" s="147">
        <v>11</v>
      </c>
      <c r="D18" s="135" t="s">
        <v>525</v>
      </c>
      <c r="E18" s="135" t="s">
        <v>526</v>
      </c>
      <c r="F18" s="134">
        <v>1</v>
      </c>
    </row>
    <row r="19" spans="2:6" ht="33" customHeight="1">
      <c r="B19" s="159"/>
      <c r="C19" s="147">
        <v>12</v>
      </c>
      <c r="D19" s="135" t="s">
        <v>527</v>
      </c>
      <c r="E19" s="135" t="s">
        <v>528</v>
      </c>
      <c r="F19" s="134">
        <v>2</v>
      </c>
    </row>
    <row r="20" spans="2:6" ht="33" customHeight="1">
      <c r="B20" s="159">
        <v>3</v>
      </c>
      <c r="C20" s="147">
        <v>13</v>
      </c>
      <c r="D20" s="135" t="s">
        <v>529</v>
      </c>
      <c r="E20" s="135" t="s">
        <v>530</v>
      </c>
      <c r="F20" s="134">
        <v>2</v>
      </c>
    </row>
    <row r="21" spans="2:6" ht="33" customHeight="1">
      <c r="B21" s="159"/>
      <c r="C21" s="147">
        <v>14</v>
      </c>
      <c r="D21" s="135" t="s">
        <v>531</v>
      </c>
      <c r="E21" s="135" t="s">
        <v>532</v>
      </c>
      <c r="F21" s="134">
        <v>0</v>
      </c>
    </row>
    <row r="22" spans="2:6" ht="33" customHeight="1">
      <c r="B22" s="159"/>
      <c r="C22" s="147">
        <v>15</v>
      </c>
      <c r="D22" s="135" t="s">
        <v>533</v>
      </c>
      <c r="E22" s="135" t="s">
        <v>534</v>
      </c>
      <c r="F22" s="134">
        <v>0</v>
      </c>
    </row>
    <row r="23" spans="2:6" ht="33" customHeight="1">
      <c r="B23" s="159"/>
      <c r="C23" s="147">
        <v>16</v>
      </c>
      <c r="D23" s="135" t="s">
        <v>371</v>
      </c>
      <c r="E23" s="135" t="s">
        <v>535</v>
      </c>
      <c r="F23" s="134">
        <v>0</v>
      </c>
    </row>
    <row r="24" spans="2:6" ht="33" customHeight="1">
      <c r="B24" s="159"/>
      <c r="C24" s="147">
        <v>17</v>
      </c>
      <c r="D24" s="135" t="s">
        <v>536</v>
      </c>
      <c r="E24" s="135" t="s">
        <v>537</v>
      </c>
      <c r="F24" s="134">
        <v>0</v>
      </c>
    </row>
    <row r="25" spans="2:6" ht="33" customHeight="1">
      <c r="B25" s="159"/>
      <c r="C25" s="147">
        <v>18</v>
      </c>
      <c r="D25" s="135" t="s">
        <v>538</v>
      </c>
      <c r="E25" s="135" t="s">
        <v>539</v>
      </c>
      <c r="F25" s="134">
        <v>0</v>
      </c>
    </row>
    <row r="26" spans="2:6" ht="33" customHeight="1">
      <c r="B26" s="159"/>
      <c r="C26" s="147">
        <v>19</v>
      </c>
      <c r="D26" s="135" t="s">
        <v>540</v>
      </c>
      <c r="E26" s="135" t="s">
        <v>541</v>
      </c>
      <c r="F26" s="134">
        <v>0</v>
      </c>
    </row>
    <row r="27" spans="2:6" ht="33" customHeight="1">
      <c r="B27" s="159">
        <v>4</v>
      </c>
      <c r="C27" s="147">
        <v>20</v>
      </c>
      <c r="D27" s="135" t="s">
        <v>542</v>
      </c>
      <c r="E27" s="135" t="s">
        <v>543</v>
      </c>
      <c r="F27" s="134">
        <v>1</v>
      </c>
    </row>
    <row r="28" spans="2:6" ht="33" customHeight="1">
      <c r="B28" s="159"/>
      <c r="C28" s="147">
        <v>21</v>
      </c>
      <c r="D28" s="135" t="s">
        <v>544</v>
      </c>
      <c r="E28" s="135" t="s">
        <v>545</v>
      </c>
      <c r="F28" s="134">
        <v>0</v>
      </c>
    </row>
    <row r="29" spans="2:6" ht="33" customHeight="1">
      <c r="B29" s="159"/>
      <c r="C29" s="147">
        <v>22</v>
      </c>
      <c r="D29" s="135" t="s">
        <v>546</v>
      </c>
      <c r="E29" s="135" t="s">
        <v>547</v>
      </c>
      <c r="F29" s="134">
        <v>0</v>
      </c>
    </row>
    <row r="30" spans="2:6" ht="33" customHeight="1">
      <c r="B30" s="159"/>
      <c r="C30" s="147">
        <v>23</v>
      </c>
      <c r="D30" s="135" t="s">
        <v>548</v>
      </c>
      <c r="E30" s="151" t="s">
        <v>549</v>
      </c>
      <c r="F30" s="134">
        <v>0</v>
      </c>
    </row>
    <row r="31" spans="2:6" ht="33" customHeight="1">
      <c r="B31" s="159"/>
      <c r="C31" s="147">
        <v>24</v>
      </c>
      <c r="D31" s="135" t="s">
        <v>550</v>
      </c>
      <c r="E31" s="135" t="s">
        <v>551</v>
      </c>
      <c r="F31" s="134">
        <v>0</v>
      </c>
    </row>
    <row r="32" spans="2:6" ht="33" customHeight="1">
      <c r="B32" s="159"/>
      <c r="C32" s="147">
        <v>25</v>
      </c>
      <c r="D32" s="135" t="s">
        <v>552</v>
      </c>
      <c r="E32" s="135" t="s">
        <v>553</v>
      </c>
      <c r="F32" s="134">
        <v>1</v>
      </c>
    </row>
    <row r="33" spans="2:6" ht="33" customHeight="1">
      <c r="B33" s="159"/>
      <c r="C33" s="147">
        <v>26</v>
      </c>
      <c r="D33" s="135" t="s">
        <v>554</v>
      </c>
      <c r="E33" s="135" t="s">
        <v>555</v>
      </c>
      <c r="F33" s="134">
        <v>0</v>
      </c>
    </row>
    <row r="34" spans="2:6" ht="33" customHeight="1">
      <c r="B34" s="159">
        <v>5</v>
      </c>
      <c r="C34" s="147">
        <v>27</v>
      </c>
      <c r="D34" s="135" t="s">
        <v>556</v>
      </c>
      <c r="E34" s="135" t="s">
        <v>557</v>
      </c>
      <c r="F34" s="134">
        <v>2</v>
      </c>
    </row>
    <row r="35" spans="2:6" ht="33" customHeight="1">
      <c r="B35" s="159"/>
      <c r="C35" s="147">
        <v>28</v>
      </c>
      <c r="D35" s="135" t="s">
        <v>558</v>
      </c>
      <c r="E35" s="135" t="s">
        <v>559</v>
      </c>
      <c r="F35" s="134">
        <v>0</v>
      </c>
    </row>
    <row r="36" spans="2:6" ht="33" customHeight="1">
      <c r="B36" s="159"/>
      <c r="C36" s="147">
        <v>29</v>
      </c>
      <c r="D36" s="135" t="s">
        <v>560</v>
      </c>
      <c r="E36" s="135" t="s">
        <v>561</v>
      </c>
      <c r="F36" s="134">
        <v>0</v>
      </c>
    </row>
    <row r="37" spans="2:6" ht="33" customHeight="1">
      <c r="B37" s="159"/>
      <c r="C37" s="147">
        <v>30</v>
      </c>
      <c r="D37" s="135" t="s">
        <v>562</v>
      </c>
      <c r="E37" s="135" t="s">
        <v>563</v>
      </c>
      <c r="F37" s="134">
        <v>0</v>
      </c>
    </row>
    <row r="38" spans="2:6" ht="33" customHeight="1">
      <c r="B38" s="159"/>
      <c r="C38" s="147">
        <v>31</v>
      </c>
      <c r="D38" s="135" t="s">
        <v>564</v>
      </c>
      <c r="E38" s="135" t="s">
        <v>565</v>
      </c>
      <c r="F38" s="134">
        <v>2</v>
      </c>
    </row>
    <row r="39" spans="2:6" ht="33" customHeight="1">
      <c r="B39" s="159"/>
      <c r="C39" s="147">
        <v>32</v>
      </c>
      <c r="D39" s="135" t="s">
        <v>566</v>
      </c>
      <c r="E39" s="135" t="s">
        <v>567</v>
      </c>
      <c r="F39" s="134">
        <v>0</v>
      </c>
    </row>
    <row r="40" spans="2:6" ht="33" customHeight="1">
      <c r="B40" s="159"/>
      <c r="C40" s="147">
        <v>33</v>
      </c>
      <c r="D40" s="135" t="s">
        <v>568</v>
      </c>
      <c r="E40" s="135" t="s">
        <v>569</v>
      </c>
      <c r="F40" s="134">
        <v>0</v>
      </c>
    </row>
    <row r="41" spans="2:6" ht="33" customHeight="1">
      <c r="B41" s="159">
        <v>6</v>
      </c>
      <c r="C41" s="147">
        <v>34</v>
      </c>
      <c r="D41" s="135" t="s">
        <v>570</v>
      </c>
      <c r="E41" s="135" t="s">
        <v>571</v>
      </c>
      <c r="F41" s="134">
        <v>0</v>
      </c>
    </row>
    <row r="42" spans="2:6" ht="33" customHeight="1">
      <c r="B42" s="159"/>
      <c r="C42" s="147">
        <v>35</v>
      </c>
      <c r="D42" s="135" t="s">
        <v>572</v>
      </c>
      <c r="E42" s="135" t="s">
        <v>573</v>
      </c>
      <c r="F42" s="134">
        <v>0</v>
      </c>
    </row>
    <row r="43" spans="2:6" ht="33" customHeight="1">
      <c r="B43" s="159"/>
      <c r="C43" s="147">
        <v>36</v>
      </c>
      <c r="D43" s="135" t="s">
        <v>574</v>
      </c>
      <c r="E43" s="135" t="s">
        <v>575</v>
      </c>
      <c r="F43" s="134">
        <v>0</v>
      </c>
    </row>
    <row r="44" spans="2:6" ht="33" customHeight="1">
      <c r="B44" s="159"/>
      <c r="C44" s="147">
        <v>37</v>
      </c>
      <c r="D44" s="135" t="s">
        <v>576</v>
      </c>
      <c r="E44" s="135" t="s">
        <v>577</v>
      </c>
      <c r="F44" s="134">
        <v>0</v>
      </c>
    </row>
    <row r="45" spans="2:6" ht="33" customHeight="1">
      <c r="B45" s="159"/>
      <c r="C45" s="147">
        <v>38</v>
      </c>
      <c r="D45" s="135" t="s">
        <v>578</v>
      </c>
      <c r="E45" s="135" t="s">
        <v>579</v>
      </c>
      <c r="F45" s="134">
        <v>0</v>
      </c>
    </row>
    <row r="46" spans="2:6" ht="33" customHeight="1">
      <c r="B46" s="159"/>
      <c r="C46" s="147">
        <v>39</v>
      </c>
      <c r="D46" s="135" t="s">
        <v>580</v>
      </c>
      <c r="E46" s="135" t="s">
        <v>581</v>
      </c>
      <c r="F46" s="134">
        <v>0</v>
      </c>
    </row>
    <row r="47" spans="2:6" ht="34.5" customHeight="1">
      <c r="B47" s="139" t="s">
        <v>255</v>
      </c>
      <c r="C47" s="139"/>
      <c r="D47" s="139"/>
      <c r="E47" s="150">
        <f>F47/(C46*3)</f>
        <v>0.13675213675213677</v>
      </c>
      <c r="F47" s="139">
        <f>SUM(F8:F46)</f>
        <v>16</v>
      </c>
    </row>
  </sheetData>
  <mergeCells count="8">
    <mergeCell ref="B34:B40"/>
    <mergeCell ref="B41:B46"/>
    <mergeCell ref="B3:F3"/>
    <mergeCell ref="B4:D5"/>
    <mergeCell ref="B8:B13"/>
    <mergeCell ref="B14:B19"/>
    <mergeCell ref="B20:B26"/>
    <mergeCell ref="B27:B3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9D2D-6552-4EF2-8D8F-59C867E1D88F}">
  <dimension ref="B2:D35"/>
  <sheetViews>
    <sheetView topLeftCell="A7" workbookViewId="0">
      <selection activeCell="H10" sqref="H10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16384" width="9" style="132"/>
  </cols>
  <sheetData>
    <row r="2" spans="2:4" ht="17.5" thickBot="1"/>
    <row r="3" spans="2:4" ht="32.25" customHeight="1">
      <c r="B3" s="140" t="s">
        <v>172</v>
      </c>
      <c r="C3" s="155" t="s">
        <v>743</v>
      </c>
      <c r="D3" s="156"/>
    </row>
    <row r="4" spans="2:4" ht="73.5" customHeight="1" thickBot="1">
      <c r="B4" s="141" t="s">
        <v>165</v>
      </c>
      <c r="C4" s="157"/>
      <c r="D4" s="158"/>
    </row>
    <row r="6" spans="2:4" s="131" customFormat="1" ht="33.75" customHeight="1">
      <c r="B6" s="139" t="s">
        <v>75</v>
      </c>
      <c r="C6" s="139" t="s">
        <v>186</v>
      </c>
      <c r="D6" s="99" t="s">
        <v>175</v>
      </c>
    </row>
    <row r="7" spans="2:4" ht="102">
      <c r="B7" s="134" t="s">
        <v>166</v>
      </c>
      <c r="C7" s="135" t="s">
        <v>235</v>
      </c>
      <c r="D7" s="136" t="s">
        <v>236</v>
      </c>
    </row>
    <row r="8" spans="2:4" ht="136">
      <c r="B8" s="134" t="s">
        <v>167</v>
      </c>
      <c r="C8" s="135" t="s">
        <v>237</v>
      </c>
      <c r="D8" s="136" t="s">
        <v>238</v>
      </c>
    </row>
    <row r="9" spans="2:4" ht="136">
      <c r="B9" s="134" t="s">
        <v>168</v>
      </c>
      <c r="C9" s="135" t="s">
        <v>239</v>
      </c>
      <c r="D9" s="136" t="s">
        <v>240</v>
      </c>
    </row>
    <row r="10" spans="2:4" ht="136">
      <c r="B10" s="134" t="s">
        <v>169</v>
      </c>
      <c r="C10" s="137" t="s">
        <v>241</v>
      </c>
      <c r="D10" s="136" t="s">
        <v>242</v>
      </c>
    </row>
    <row r="11" spans="2:4" ht="119">
      <c r="B11" s="134" t="s">
        <v>170</v>
      </c>
      <c r="C11" s="135" t="s">
        <v>243</v>
      </c>
      <c r="D11" s="136" t="s">
        <v>244</v>
      </c>
    </row>
    <row r="12" spans="2:4" ht="137.25" customHeight="1">
      <c r="B12" s="138" t="s">
        <v>171</v>
      </c>
      <c r="C12" s="135" t="s">
        <v>245</v>
      </c>
      <c r="D12" s="136" t="s">
        <v>246</v>
      </c>
    </row>
    <row r="13" spans="2:4" ht="32.25" customHeight="1"/>
    <row r="35" ht="32.25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C354-2EDD-48CE-A033-F494D624AFD3}">
  <dimension ref="B2:F48"/>
  <sheetViews>
    <sheetView workbookViewId="0">
      <pane ySplit="7" topLeftCell="A43" activePane="bottomLeft" state="frozen"/>
      <selection pane="bottomLeft" activeCell="J10" sqref="J10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582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59">
        <v>1</v>
      </c>
      <c r="C8" s="147">
        <v>1</v>
      </c>
      <c r="D8" s="137" t="s">
        <v>583</v>
      </c>
      <c r="E8" s="137" t="s">
        <v>584</v>
      </c>
      <c r="F8" s="138">
        <v>0</v>
      </c>
    </row>
    <row r="9" spans="2:6" ht="33" customHeight="1">
      <c r="B9" s="159"/>
      <c r="C9" s="147">
        <v>2</v>
      </c>
      <c r="D9" s="137" t="s">
        <v>585</v>
      </c>
      <c r="E9" s="137" t="s">
        <v>586</v>
      </c>
      <c r="F9" s="138">
        <v>1</v>
      </c>
    </row>
    <row r="10" spans="2:6" ht="33" customHeight="1">
      <c r="B10" s="159"/>
      <c r="C10" s="147">
        <v>3</v>
      </c>
      <c r="D10" s="137" t="s">
        <v>587</v>
      </c>
      <c r="E10" s="137" t="s">
        <v>588</v>
      </c>
      <c r="F10" s="138">
        <v>0</v>
      </c>
    </row>
    <row r="11" spans="2:6" ht="33" customHeight="1">
      <c r="B11" s="159"/>
      <c r="C11" s="147">
        <v>4</v>
      </c>
      <c r="D11" s="137" t="s">
        <v>589</v>
      </c>
      <c r="E11" s="137" t="s">
        <v>590</v>
      </c>
      <c r="F11" s="138">
        <v>0</v>
      </c>
    </row>
    <row r="12" spans="2:6" ht="33" customHeight="1">
      <c r="B12" s="159"/>
      <c r="C12" s="147">
        <v>5</v>
      </c>
      <c r="D12" s="137" t="s">
        <v>591</v>
      </c>
      <c r="E12" s="137" t="s">
        <v>592</v>
      </c>
      <c r="F12" s="138">
        <v>0</v>
      </c>
    </row>
    <row r="13" spans="2:6" ht="33" customHeight="1">
      <c r="B13" s="159"/>
      <c r="C13" s="147">
        <v>6</v>
      </c>
      <c r="D13" s="137" t="s">
        <v>593</v>
      </c>
      <c r="E13" s="137" t="s">
        <v>594</v>
      </c>
      <c r="F13" s="138">
        <v>0</v>
      </c>
    </row>
    <row r="14" spans="2:6" ht="33" customHeight="1">
      <c r="B14" s="159">
        <v>2</v>
      </c>
      <c r="C14" s="147">
        <v>7</v>
      </c>
      <c r="D14" s="137" t="s">
        <v>595</v>
      </c>
      <c r="E14" s="137" t="s">
        <v>596</v>
      </c>
      <c r="F14" s="138">
        <v>0</v>
      </c>
    </row>
    <row r="15" spans="2:6" ht="33" customHeight="1">
      <c r="B15" s="159"/>
      <c r="C15" s="147">
        <v>8</v>
      </c>
      <c r="D15" s="137" t="s">
        <v>597</v>
      </c>
      <c r="E15" s="137" t="s">
        <v>598</v>
      </c>
      <c r="F15" s="138">
        <v>0</v>
      </c>
    </row>
    <row r="16" spans="2:6" ht="33" customHeight="1">
      <c r="B16" s="159"/>
      <c r="C16" s="147">
        <v>9</v>
      </c>
      <c r="D16" s="137" t="s">
        <v>599</v>
      </c>
      <c r="E16" s="137" t="s">
        <v>600</v>
      </c>
      <c r="F16" s="138">
        <v>0</v>
      </c>
    </row>
    <row r="17" spans="2:6" ht="33" customHeight="1">
      <c r="B17" s="159"/>
      <c r="C17" s="147">
        <v>10</v>
      </c>
      <c r="D17" s="137" t="s">
        <v>601</v>
      </c>
      <c r="E17" s="137" t="s">
        <v>602</v>
      </c>
      <c r="F17" s="138">
        <v>0</v>
      </c>
    </row>
    <row r="18" spans="2:6" ht="33" customHeight="1">
      <c r="B18" s="159"/>
      <c r="C18" s="147">
        <v>11</v>
      </c>
      <c r="D18" s="137" t="s">
        <v>603</v>
      </c>
      <c r="E18" s="137" t="s">
        <v>604</v>
      </c>
      <c r="F18" s="138">
        <v>0</v>
      </c>
    </row>
    <row r="19" spans="2:6" ht="33" customHeight="1">
      <c r="B19" s="159"/>
      <c r="C19" s="147">
        <v>12</v>
      </c>
      <c r="D19" s="137" t="s">
        <v>605</v>
      </c>
      <c r="E19" s="137" t="s">
        <v>606</v>
      </c>
      <c r="F19" s="138">
        <v>0</v>
      </c>
    </row>
    <row r="20" spans="2:6" ht="33" customHeight="1">
      <c r="B20" s="159"/>
      <c r="C20" s="147">
        <v>13</v>
      </c>
      <c r="D20" s="137" t="s">
        <v>607</v>
      </c>
      <c r="E20" s="137" t="s">
        <v>608</v>
      </c>
      <c r="F20" s="138">
        <v>0</v>
      </c>
    </row>
    <row r="21" spans="2:6" ht="33" customHeight="1">
      <c r="B21" s="159">
        <v>3</v>
      </c>
      <c r="C21" s="147">
        <v>14</v>
      </c>
      <c r="D21" s="137" t="s">
        <v>650</v>
      </c>
      <c r="E21" s="137" t="s">
        <v>651</v>
      </c>
      <c r="F21" s="138">
        <v>0</v>
      </c>
    </row>
    <row r="22" spans="2:6" ht="33" customHeight="1">
      <c r="B22" s="159"/>
      <c r="C22" s="147">
        <v>15</v>
      </c>
      <c r="D22" s="137" t="s">
        <v>652</v>
      </c>
      <c r="E22" s="137" t="s">
        <v>653</v>
      </c>
      <c r="F22" s="138">
        <v>0</v>
      </c>
    </row>
    <row r="23" spans="2:6" ht="33" customHeight="1">
      <c r="B23" s="159"/>
      <c r="C23" s="147">
        <v>16</v>
      </c>
      <c r="D23" s="137" t="s">
        <v>609</v>
      </c>
      <c r="E23" s="137" t="s">
        <v>654</v>
      </c>
      <c r="F23" s="138">
        <v>0</v>
      </c>
    </row>
    <row r="24" spans="2:6" ht="33" customHeight="1">
      <c r="B24" s="159"/>
      <c r="C24" s="147">
        <v>17</v>
      </c>
      <c r="D24" s="137" t="s">
        <v>655</v>
      </c>
      <c r="E24" s="137" t="s">
        <v>656</v>
      </c>
      <c r="F24" s="138">
        <v>0</v>
      </c>
    </row>
    <row r="25" spans="2:6" ht="33" customHeight="1">
      <c r="B25" s="159"/>
      <c r="C25" s="147">
        <v>18</v>
      </c>
      <c r="D25" s="137" t="s">
        <v>657</v>
      </c>
      <c r="E25" s="137" t="s">
        <v>658</v>
      </c>
      <c r="F25" s="138">
        <v>0</v>
      </c>
    </row>
    <row r="26" spans="2:6" ht="33" customHeight="1">
      <c r="B26" s="159"/>
      <c r="C26" s="147">
        <v>19</v>
      </c>
      <c r="D26" s="137" t="s">
        <v>659</v>
      </c>
      <c r="E26" s="137" t="s">
        <v>660</v>
      </c>
      <c r="F26" s="138">
        <v>0</v>
      </c>
    </row>
    <row r="27" spans="2:6" ht="33" customHeight="1">
      <c r="B27" s="159"/>
      <c r="C27" s="147">
        <v>20</v>
      </c>
      <c r="D27" s="137" t="s">
        <v>661</v>
      </c>
      <c r="E27" s="137" t="s">
        <v>662</v>
      </c>
      <c r="F27" s="154">
        <v>0</v>
      </c>
    </row>
    <row r="28" spans="2:6" ht="33" customHeight="1">
      <c r="B28" s="159">
        <v>4</v>
      </c>
      <c r="C28" s="147">
        <v>21</v>
      </c>
      <c r="D28" s="137" t="s">
        <v>610</v>
      </c>
      <c r="E28" s="137" t="s">
        <v>611</v>
      </c>
      <c r="F28" s="138">
        <v>0</v>
      </c>
    </row>
    <row r="29" spans="2:6" ht="33" customHeight="1">
      <c r="B29" s="159"/>
      <c r="C29" s="147">
        <v>22</v>
      </c>
      <c r="D29" s="137" t="s">
        <v>612</v>
      </c>
      <c r="E29" s="137" t="s">
        <v>613</v>
      </c>
      <c r="F29" s="138">
        <v>0</v>
      </c>
    </row>
    <row r="30" spans="2:6" ht="33" customHeight="1">
      <c r="B30" s="159"/>
      <c r="C30" s="147">
        <v>23</v>
      </c>
      <c r="D30" s="137" t="s">
        <v>614</v>
      </c>
      <c r="E30" s="137" t="s">
        <v>615</v>
      </c>
      <c r="F30" s="138">
        <v>0</v>
      </c>
    </row>
    <row r="31" spans="2:6" ht="33" customHeight="1">
      <c r="B31" s="159"/>
      <c r="C31" s="147">
        <v>24</v>
      </c>
      <c r="D31" s="137" t="s">
        <v>616</v>
      </c>
      <c r="E31" s="137" t="s">
        <v>617</v>
      </c>
      <c r="F31" s="138">
        <v>0</v>
      </c>
    </row>
    <row r="32" spans="2:6" ht="33" customHeight="1">
      <c r="B32" s="159"/>
      <c r="C32" s="147">
        <v>25</v>
      </c>
      <c r="D32" s="137" t="s">
        <v>618</v>
      </c>
      <c r="E32" s="137" t="s">
        <v>619</v>
      </c>
      <c r="F32" s="138">
        <v>0</v>
      </c>
    </row>
    <row r="33" spans="2:6" ht="33" customHeight="1">
      <c r="B33" s="159"/>
      <c r="C33" s="147">
        <v>26</v>
      </c>
      <c r="D33" s="137" t="s">
        <v>620</v>
      </c>
      <c r="E33" s="137" t="s">
        <v>621</v>
      </c>
      <c r="F33" s="138">
        <v>0</v>
      </c>
    </row>
    <row r="34" spans="2:6" ht="33" customHeight="1">
      <c r="B34" s="159"/>
      <c r="C34" s="147">
        <v>27</v>
      </c>
      <c r="D34" s="137" t="s">
        <v>622</v>
      </c>
      <c r="E34" s="137" t="s">
        <v>623</v>
      </c>
      <c r="F34" s="154">
        <v>0</v>
      </c>
    </row>
    <row r="35" spans="2:6" ht="33" customHeight="1">
      <c r="B35" s="170">
        <v>5</v>
      </c>
      <c r="C35" s="147">
        <v>28</v>
      </c>
      <c r="D35" s="137" t="s">
        <v>624</v>
      </c>
      <c r="E35" s="137" t="s">
        <v>625</v>
      </c>
      <c r="F35" s="138">
        <v>0</v>
      </c>
    </row>
    <row r="36" spans="2:6" ht="33" customHeight="1">
      <c r="B36" s="171"/>
      <c r="C36" s="147">
        <v>29</v>
      </c>
      <c r="D36" s="137" t="s">
        <v>626</v>
      </c>
      <c r="E36" s="137" t="s">
        <v>627</v>
      </c>
      <c r="F36" s="138">
        <v>0</v>
      </c>
    </row>
    <row r="37" spans="2:6" ht="33" customHeight="1">
      <c r="B37" s="171"/>
      <c r="C37" s="147">
        <v>30</v>
      </c>
      <c r="D37" s="137" t="s">
        <v>628</v>
      </c>
      <c r="E37" s="137" t="s">
        <v>629</v>
      </c>
      <c r="F37" s="138">
        <v>0</v>
      </c>
    </row>
    <row r="38" spans="2:6" ht="33" customHeight="1">
      <c r="B38" s="171"/>
      <c r="C38" s="147">
        <v>31</v>
      </c>
      <c r="D38" s="137" t="s">
        <v>630</v>
      </c>
      <c r="E38" s="137" t="s">
        <v>631</v>
      </c>
      <c r="F38" s="138">
        <v>0</v>
      </c>
    </row>
    <row r="39" spans="2:6" ht="33" customHeight="1">
      <c r="B39" s="171"/>
      <c r="C39" s="147">
        <v>32</v>
      </c>
      <c r="D39" s="137" t="s">
        <v>632</v>
      </c>
      <c r="E39" s="137" t="s">
        <v>633</v>
      </c>
      <c r="F39" s="138">
        <v>2</v>
      </c>
    </row>
    <row r="40" spans="2:6" ht="33" customHeight="1">
      <c r="B40" s="172"/>
      <c r="C40" s="147">
        <v>33</v>
      </c>
      <c r="D40" s="137" t="s">
        <v>634</v>
      </c>
      <c r="E40" s="137" t="s">
        <v>635</v>
      </c>
      <c r="F40" s="154">
        <v>0</v>
      </c>
    </row>
    <row r="41" spans="2:6" ht="33" customHeight="1">
      <c r="B41" s="170">
        <v>6</v>
      </c>
      <c r="C41" s="147">
        <v>34</v>
      </c>
      <c r="D41" s="137" t="s">
        <v>636</v>
      </c>
      <c r="E41" s="137" t="s">
        <v>637</v>
      </c>
      <c r="F41" s="138">
        <v>0</v>
      </c>
    </row>
    <row r="42" spans="2:6" ht="33" customHeight="1">
      <c r="B42" s="171"/>
      <c r="C42" s="147">
        <v>35</v>
      </c>
      <c r="D42" s="137" t="s">
        <v>638</v>
      </c>
      <c r="E42" s="137" t="s">
        <v>639</v>
      </c>
      <c r="F42" s="138">
        <v>0</v>
      </c>
    </row>
    <row r="43" spans="2:6" ht="33" customHeight="1">
      <c r="B43" s="171"/>
      <c r="C43" s="147">
        <v>36</v>
      </c>
      <c r="D43" s="137" t="s">
        <v>640</v>
      </c>
      <c r="E43" s="137" t="s">
        <v>641</v>
      </c>
      <c r="F43" s="138">
        <v>0</v>
      </c>
    </row>
    <row r="44" spans="2:6" ht="33" customHeight="1">
      <c r="B44" s="171"/>
      <c r="C44" s="147">
        <v>37</v>
      </c>
      <c r="D44" s="137" t="s">
        <v>642</v>
      </c>
      <c r="E44" s="137" t="s">
        <v>643</v>
      </c>
      <c r="F44" s="138">
        <v>0</v>
      </c>
    </row>
    <row r="45" spans="2:6" ht="33" customHeight="1">
      <c r="B45" s="171"/>
      <c r="C45" s="147">
        <v>38</v>
      </c>
      <c r="D45" s="137" t="s">
        <v>644</v>
      </c>
      <c r="E45" s="137" t="s">
        <v>645</v>
      </c>
      <c r="F45" s="138">
        <v>0</v>
      </c>
    </row>
    <row r="46" spans="2:6" ht="33" customHeight="1">
      <c r="B46" s="171"/>
      <c r="C46" s="147">
        <v>39</v>
      </c>
      <c r="D46" s="137" t="s">
        <v>646</v>
      </c>
      <c r="E46" s="137" t="s">
        <v>647</v>
      </c>
      <c r="F46" s="138">
        <v>0</v>
      </c>
    </row>
    <row r="47" spans="2:6" ht="33" customHeight="1">
      <c r="B47" s="172"/>
      <c r="C47" s="147">
        <v>40</v>
      </c>
      <c r="D47" s="137" t="s">
        <v>648</v>
      </c>
      <c r="E47" s="137" t="s">
        <v>649</v>
      </c>
      <c r="F47" s="154">
        <v>0</v>
      </c>
    </row>
    <row r="48" spans="2:6" ht="34.5" customHeight="1">
      <c r="B48" s="139" t="s">
        <v>255</v>
      </c>
      <c r="C48" s="139"/>
      <c r="D48" s="139"/>
      <c r="E48" s="150">
        <f>F48/(C47*3)</f>
        <v>2.5000000000000001E-2</v>
      </c>
      <c r="F48" s="139">
        <f>SUM(F8:F47)</f>
        <v>3</v>
      </c>
    </row>
  </sheetData>
  <mergeCells count="8">
    <mergeCell ref="B28:B34"/>
    <mergeCell ref="B35:B40"/>
    <mergeCell ref="B41:B47"/>
    <mergeCell ref="B14:B20"/>
    <mergeCell ref="B3:F3"/>
    <mergeCell ref="B4:D5"/>
    <mergeCell ref="B8:B13"/>
    <mergeCell ref="B21:B27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F791-E926-417E-82F2-D0BBECFC2653}">
  <dimension ref="B2:D38"/>
  <sheetViews>
    <sheetView workbookViewId="0">
      <selection activeCell="D11" sqref="D11"/>
    </sheetView>
  </sheetViews>
  <sheetFormatPr defaultColWidth="9" defaultRowHeight="17"/>
  <cols>
    <col min="1" max="1" width="9" style="132"/>
    <col min="2" max="2" width="17.33203125" style="131" customWidth="1"/>
    <col min="3" max="3" width="27.5" style="132" customWidth="1"/>
    <col min="4" max="4" width="78.83203125" style="133" customWidth="1"/>
    <col min="5" max="16384" width="9" style="132"/>
  </cols>
  <sheetData>
    <row r="2" spans="2:4" ht="17.5" thickBot="1"/>
    <row r="3" spans="2:4" ht="32.25" customHeight="1">
      <c r="B3" s="140" t="s">
        <v>172</v>
      </c>
      <c r="C3" s="155" t="s">
        <v>744</v>
      </c>
      <c r="D3" s="156"/>
    </row>
    <row r="4" spans="2:4" ht="69" customHeight="1" thickBot="1">
      <c r="B4" s="141" t="s">
        <v>165</v>
      </c>
      <c r="C4" s="157"/>
      <c r="D4" s="158"/>
    </row>
    <row r="6" spans="2:4" s="131" customFormat="1" ht="33.75" customHeight="1">
      <c r="B6" s="139" t="s">
        <v>75</v>
      </c>
      <c r="C6" s="139" t="s">
        <v>186</v>
      </c>
      <c r="D6" s="99" t="s">
        <v>175</v>
      </c>
    </row>
    <row r="7" spans="2:4" ht="119">
      <c r="B7" s="134" t="s">
        <v>166</v>
      </c>
      <c r="C7" s="135" t="s">
        <v>222</v>
      </c>
      <c r="D7" s="136" t="s">
        <v>223</v>
      </c>
    </row>
    <row r="8" spans="2:4" ht="119">
      <c r="B8" s="134" t="s">
        <v>167</v>
      </c>
      <c r="C8" s="135" t="s">
        <v>224</v>
      </c>
      <c r="D8" s="136" t="s">
        <v>225</v>
      </c>
    </row>
    <row r="9" spans="2:4" ht="136">
      <c r="B9" s="134" t="s">
        <v>168</v>
      </c>
      <c r="C9" s="135" t="s">
        <v>226</v>
      </c>
      <c r="D9" s="136" t="s">
        <v>227</v>
      </c>
    </row>
    <row r="10" spans="2:4" ht="119">
      <c r="B10" s="134" t="s">
        <v>169</v>
      </c>
      <c r="C10" s="137" t="s">
        <v>228</v>
      </c>
      <c r="D10" s="136" t="s">
        <v>229</v>
      </c>
    </row>
    <row r="11" spans="2:4" ht="119">
      <c r="B11" s="134" t="s">
        <v>170</v>
      </c>
      <c r="C11" s="135" t="s">
        <v>230</v>
      </c>
      <c r="D11" s="136" t="s">
        <v>231</v>
      </c>
    </row>
    <row r="12" spans="2:4" ht="137.25" customHeight="1">
      <c r="B12" s="138" t="s">
        <v>171</v>
      </c>
      <c r="C12" s="135" t="s">
        <v>232</v>
      </c>
      <c r="D12" s="136" t="s">
        <v>233</v>
      </c>
    </row>
    <row r="13" spans="2:4" ht="32.25" customHeight="1"/>
    <row r="38" ht="33" customHeight="1"/>
  </sheetData>
  <mergeCells count="2">
    <mergeCell ref="C3:D3"/>
    <mergeCell ref="C4:D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86EE-8660-4012-8DC2-02322232882B}">
  <dimension ref="B2:F46"/>
  <sheetViews>
    <sheetView workbookViewId="0">
      <pane ySplit="7" topLeftCell="A35" activePane="bottomLeft" state="frozen"/>
      <selection pane="bottomLeft" activeCell="D35" sqref="D35:E35"/>
    </sheetView>
  </sheetViews>
  <sheetFormatPr defaultColWidth="9" defaultRowHeight="17"/>
  <cols>
    <col min="1" max="1" width="9" style="132"/>
    <col min="2" max="2" width="6.75" style="132" customWidth="1"/>
    <col min="3" max="3" width="7.25" style="132" customWidth="1"/>
    <col min="4" max="4" width="35" style="132" customWidth="1"/>
    <col min="5" max="5" width="66.08203125" style="132" customWidth="1"/>
    <col min="6" max="6" width="18.33203125" style="131" customWidth="1"/>
    <col min="7" max="16384" width="9" style="132"/>
  </cols>
  <sheetData>
    <row r="2" spans="2:6" ht="17.5" thickBot="1"/>
    <row r="3" spans="2:6" ht="32.25" customHeight="1" thickBot="1">
      <c r="B3" s="160" t="s">
        <v>663</v>
      </c>
      <c r="C3" s="161"/>
      <c r="D3" s="162"/>
      <c r="E3" s="162"/>
      <c r="F3" s="163"/>
    </row>
    <row r="4" spans="2:6" ht="38.25" customHeight="1">
      <c r="B4" s="164" t="s">
        <v>248</v>
      </c>
      <c r="C4" s="165"/>
      <c r="D4" s="166"/>
      <c r="E4" s="145" t="s">
        <v>249</v>
      </c>
      <c r="F4" s="152" t="s">
        <v>62</v>
      </c>
    </row>
    <row r="5" spans="2:6" ht="35.25" customHeight="1" thickBot="1">
      <c r="B5" s="167"/>
      <c r="C5" s="168"/>
      <c r="D5" s="169"/>
      <c r="E5" s="146" t="s">
        <v>250</v>
      </c>
      <c r="F5" s="153" t="s">
        <v>745</v>
      </c>
    </row>
    <row r="6" spans="2:6" ht="27.75" customHeight="1"/>
    <row r="7" spans="2:6" s="131" customFormat="1" ht="33.75" customHeight="1">
      <c r="B7" s="139" t="s">
        <v>75</v>
      </c>
      <c r="C7" s="139" t="s">
        <v>270</v>
      </c>
      <c r="D7" s="139" t="s">
        <v>251</v>
      </c>
      <c r="E7" s="139" t="s">
        <v>252</v>
      </c>
      <c r="F7" s="139" t="s">
        <v>253</v>
      </c>
    </row>
    <row r="8" spans="2:6" ht="33" customHeight="1">
      <c r="B8" s="159">
        <v>1</v>
      </c>
      <c r="C8" s="147">
        <v>1</v>
      </c>
      <c r="D8" s="137" t="s">
        <v>664</v>
      </c>
      <c r="E8" s="137" t="s">
        <v>665</v>
      </c>
      <c r="F8" s="138">
        <v>3</v>
      </c>
    </row>
    <row r="9" spans="2:6" ht="33" customHeight="1">
      <c r="B9" s="159"/>
      <c r="C9" s="147">
        <v>2</v>
      </c>
      <c r="D9" s="137" t="s">
        <v>666</v>
      </c>
      <c r="E9" s="137" t="s">
        <v>667</v>
      </c>
      <c r="F9" s="138">
        <v>2</v>
      </c>
    </row>
    <row r="10" spans="2:6" ht="33" customHeight="1">
      <c r="B10" s="159"/>
      <c r="C10" s="147">
        <v>3</v>
      </c>
      <c r="D10" s="137" t="s">
        <v>668</v>
      </c>
      <c r="E10" s="137" t="s">
        <v>669</v>
      </c>
      <c r="F10" s="138">
        <v>2</v>
      </c>
    </row>
    <row r="11" spans="2:6" ht="33" customHeight="1">
      <c r="B11" s="159"/>
      <c r="C11" s="147">
        <v>4</v>
      </c>
      <c r="D11" s="137" t="s">
        <v>670</v>
      </c>
      <c r="E11" s="137" t="s">
        <v>671</v>
      </c>
      <c r="F11" s="138">
        <v>3</v>
      </c>
    </row>
    <row r="12" spans="2:6" ht="33" customHeight="1">
      <c r="B12" s="159"/>
      <c r="C12" s="147">
        <v>5</v>
      </c>
      <c r="D12" s="137" t="s">
        <v>672</v>
      </c>
      <c r="E12" s="137" t="s">
        <v>673</v>
      </c>
      <c r="F12" s="138">
        <v>3</v>
      </c>
    </row>
    <row r="13" spans="2:6" ht="33" customHeight="1">
      <c r="B13" s="159"/>
      <c r="C13" s="147">
        <v>6</v>
      </c>
      <c r="D13" s="137" t="s">
        <v>674</v>
      </c>
      <c r="E13" s="137" t="s">
        <v>675</v>
      </c>
      <c r="F13" s="138">
        <v>2</v>
      </c>
    </row>
    <row r="14" spans="2:6" ht="33" customHeight="1">
      <c r="B14" s="159"/>
      <c r="C14" s="147">
        <v>7</v>
      </c>
      <c r="D14" s="137" t="s">
        <v>676</v>
      </c>
      <c r="E14" s="137" t="s">
        <v>677</v>
      </c>
      <c r="F14" s="138">
        <v>2</v>
      </c>
    </row>
    <row r="15" spans="2:6" ht="33" customHeight="1">
      <c r="B15" s="159">
        <v>2</v>
      </c>
      <c r="C15" s="147">
        <v>8</v>
      </c>
      <c r="D15" s="137" t="s">
        <v>678</v>
      </c>
      <c r="E15" s="137" t="s">
        <v>679</v>
      </c>
      <c r="F15" s="138">
        <v>2</v>
      </c>
    </row>
    <row r="16" spans="2:6" ht="33" customHeight="1">
      <c r="B16" s="159"/>
      <c r="C16" s="147">
        <v>9</v>
      </c>
      <c r="D16" s="137" t="s">
        <v>680</v>
      </c>
      <c r="E16" s="137" t="s">
        <v>681</v>
      </c>
      <c r="F16" s="138">
        <v>2</v>
      </c>
    </row>
    <row r="17" spans="2:6" ht="33" customHeight="1">
      <c r="B17" s="159"/>
      <c r="C17" s="147">
        <v>10</v>
      </c>
      <c r="D17" s="137" t="s">
        <v>682</v>
      </c>
      <c r="E17" s="137" t="s">
        <v>683</v>
      </c>
      <c r="F17" s="138">
        <v>2</v>
      </c>
    </row>
    <row r="18" spans="2:6" ht="33" customHeight="1">
      <c r="B18" s="159"/>
      <c r="C18" s="147">
        <v>11</v>
      </c>
      <c r="D18" s="137" t="s">
        <v>684</v>
      </c>
      <c r="E18" s="137" t="s">
        <v>685</v>
      </c>
      <c r="F18" s="138">
        <v>1</v>
      </c>
    </row>
    <row r="19" spans="2:6" ht="33" customHeight="1">
      <c r="B19" s="159"/>
      <c r="C19" s="147">
        <v>12</v>
      </c>
      <c r="D19" s="137" t="s">
        <v>686</v>
      </c>
      <c r="E19" s="137" t="s">
        <v>687</v>
      </c>
      <c r="F19" s="138">
        <v>2</v>
      </c>
    </row>
    <row r="20" spans="2:6" ht="33" customHeight="1">
      <c r="B20" s="159"/>
      <c r="C20" s="147">
        <v>13</v>
      </c>
      <c r="D20" s="137" t="s">
        <v>688</v>
      </c>
      <c r="E20" s="137" t="s">
        <v>689</v>
      </c>
      <c r="F20" s="138">
        <v>1</v>
      </c>
    </row>
    <row r="21" spans="2:6" ht="33" customHeight="1">
      <c r="B21" s="159">
        <v>3</v>
      </c>
      <c r="C21" s="147">
        <v>14</v>
      </c>
      <c r="D21" s="137" t="s">
        <v>690</v>
      </c>
      <c r="E21" s="137" t="s">
        <v>691</v>
      </c>
      <c r="F21" s="138">
        <v>2</v>
      </c>
    </row>
    <row r="22" spans="2:6" ht="33" customHeight="1">
      <c r="B22" s="159"/>
      <c r="C22" s="147">
        <v>15</v>
      </c>
      <c r="D22" s="137" t="s">
        <v>692</v>
      </c>
      <c r="E22" s="137" t="s">
        <v>693</v>
      </c>
      <c r="F22" s="138">
        <v>2</v>
      </c>
    </row>
    <row r="23" spans="2:6" ht="33" customHeight="1">
      <c r="B23" s="159"/>
      <c r="C23" s="147">
        <v>16</v>
      </c>
      <c r="D23" s="137" t="s">
        <v>694</v>
      </c>
      <c r="E23" s="137" t="s">
        <v>695</v>
      </c>
      <c r="F23" s="138">
        <v>1</v>
      </c>
    </row>
    <row r="24" spans="2:6" ht="33" customHeight="1">
      <c r="B24" s="159"/>
      <c r="C24" s="147">
        <v>17</v>
      </c>
      <c r="D24" s="137" t="s">
        <v>696</v>
      </c>
      <c r="E24" s="137" t="s">
        <v>697</v>
      </c>
      <c r="F24" s="138">
        <v>2</v>
      </c>
    </row>
    <row r="25" spans="2:6" ht="33" customHeight="1">
      <c r="B25" s="159"/>
      <c r="C25" s="147">
        <v>18</v>
      </c>
      <c r="D25" s="137" t="s">
        <v>698</v>
      </c>
      <c r="E25" s="137" t="s">
        <v>699</v>
      </c>
      <c r="F25" s="138">
        <v>1</v>
      </c>
    </row>
    <row r="26" spans="2:6" ht="33" customHeight="1">
      <c r="B26" s="159"/>
      <c r="C26" s="147">
        <v>19</v>
      </c>
      <c r="D26" s="137" t="s">
        <v>700</v>
      </c>
      <c r="E26" s="137" t="s">
        <v>701</v>
      </c>
      <c r="F26" s="138">
        <v>2</v>
      </c>
    </row>
    <row r="27" spans="2:6" ht="33" customHeight="1">
      <c r="B27" s="159"/>
      <c r="C27" s="147">
        <v>20</v>
      </c>
      <c r="D27" s="137" t="s">
        <v>702</v>
      </c>
      <c r="E27" s="137" t="s">
        <v>703</v>
      </c>
      <c r="F27" s="138">
        <v>0</v>
      </c>
    </row>
    <row r="28" spans="2:6" ht="33" customHeight="1">
      <c r="B28" s="159">
        <v>4</v>
      </c>
      <c r="C28" s="147">
        <v>21</v>
      </c>
      <c r="D28" s="137" t="s">
        <v>704</v>
      </c>
      <c r="E28" s="137" t="s">
        <v>705</v>
      </c>
      <c r="F28" s="138">
        <v>1</v>
      </c>
    </row>
    <row r="29" spans="2:6" ht="33" customHeight="1">
      <c r="B29" s="159"/>
      <c r="C29" s="147">
        <v>22</v>
      </c>
      <c r="D29" s="137" t="s">
        <v>706</v>
      </c>
      <c r="E29" s="137" t="s">
        <v>746</v>
      </c>
      <c r="F29" s="138">
        <v>2</v>
      </c>
    </row>
    <row r="30" spans="2:6" ht="33" customHeight="1">
      <c r="B30" s="159"/>
      <c r="C30" s="147">
        <v>23</v>
      </c>
      <c r="D30" s="137" t="s">
        <v>707</v>
      </c>
      <c r="E30" s="137" t="s">
        <v>708</v>
      </c>
      <c r="F30" s="138">
        <v>3</v>
      </c>
    </row>
    <row r="31" spans="2:6" ht="33" customHeight="1">
      <c r="B31" s="159"/>
      <c r="C31" s="147">
        <v>24</v>
      </c>
      <c r="D31" s="137" t="s">
        <v>709</v>
      </c>
      <c r="E31" s="137" t="s">
        <v>710</v>
      </c>
      <c r="F31" s="138">
        <v>2</v>
      </c>
    </row>
    <row r="32" spans="2:6" ht="33" customHeight="1">
      <c r="B32" s="159"/>
      <c r="C32" s="147">
        <v>25</v>
      </c>
      <c r="D32" s="137" t="s">
        <v>711</v>
      </c>
      <c r="E32" s="137" t="s">
        <v>712</v>
      </c>
      <c r="F32" s="138">
        <v>2</v>
      </c>
    </row>
    <row r="33" spans="2:6" ht="33" customHeight="1">
      <c r="B33" s="159"/>
      <c r="C33" s="147">
        <v>26</v>
      </c>
      <c r="D33" s="137" t="s">
        <v>713</v>
      </c>
      <c r="E33" s="137" t="s">
        <v>714</v>
      </c>
      <c r="F33" s="138">
        <v>1</v>
      </c>
    </row>
    <row r="34" spans="2:6" ht="33" customHeight="1">
      <c r="B34" s="159">
        <v>5</v>
      </c>
      <c r="C34" s="147">
        <v>27</v>
      </c>
      <c r="D34" s="137" t="s">
        <v>715</v>
      </c>
      <c r="E34" s="137" t="s">
        <v>716</v>
      </c>
      <c r="F34" s="138">
        <v>3</v>
      </c>
    </row>
    <row r="35" spans="2:6" ht="33" customHeight="1">
      <c r="B35" s="159"/>
      <c r="C35" s="147">
        <v>28</v>
      </c>
      <c r="D35" s="137" t="s">
        <v>717</v>
      </c>
      <c r="E35" s="137" t="s">
        <v>718</v>
      </c>
      <c r="F35" s="138">
        <v>2</v>
      </c>
    </row>
    <row r="36" spans="2:6" ht="33" customHeight="1">
      <c r="B36" s="159"/>
      <c r="C36" s="147">
        <v>29</v>
      </c>
      <c r="D36" s="137" t="s">
        <v>719</v>
      </c>
      <c r="E36" s="137" t="s">
        <v>720</v>
      </c>
      <c r="F36" s="138">
        <v>0</v>
      </c>
    </row>
    <row r="37" spans="2:6" ht="33" customHeight="1">
      <c r="B37" s="159"/>
      <c r="C37" s="147">
        <v>30</v>
      </c>
      <c r="D37" s="137" t="s">
        <v>721</v>
      </c>
      <c r="E37" s="137" t="s">
        <v>722</v>
      </c>
      <c r="F37" s="138">
        <v>0</v>
      </c>
    </row>
    <row r="38" spans="2:6" ht="33" customHeight="1">
      <c r="B38" s="159"/>
      <c r="C38" s="147">
        <v>31</v>
      </c>
      <c r="D38" s="137" t="s">
        <v>723</v>
      </c>
      <c r="E38" s="137" t="s">
        <v>724</v>
      </c>
      <c r="F38" s="138">
        <v>2</v>
      </c>
    </row>
    <row r="39" spans="2:6" ht="33" customHeight="1">
      <c r="B39" s="159"/>
      <c r="C39" s="147">
        <v>32</v>
      </c>
      <c r="D39" s="137" t="s">
        <v>725</v>
      </c>
      <c r="E39" s="137" t="s">
        <v>726</v>
      </c>
      <c r="F39" s="154">
        <v>2</v>
      </c>
    </row>
    <row r="40" spans="2:6" ht="33" customHeight="1">
      <c r="B40" s="159">
        <v>6</v>
      </c>
      <c r="C40" s="147">
        <v>33</v>
      </c>
      <c r="D40" s="137" t="s">
        <v>727</v>
      </c>
      <c r="E40" s="137" t="s">
        <v>728</v>
      </c>
      <c r="F40" s="138">
        <v>2</v>
      </c>
    </row>
    <row r="41" spans="2:6" ht="33" customHeight="1">
      <c r="B41" s="159"/>
      <c r="C41" s="147">
        <v>34</v>
      </c>
      <c r="D41" s="137" t="s">
        <v>729</v>
      </c>
      <c r="E41" s="137" t="s">
        <v>730</v>
      </c>
      <c r="F41" s="138">
        <v>1</v>
      </c>
    </row>
    <row r="42" spans="2:6" ht="33" customHeight="1">
      <c r="B42" s="159"/>
      <c r="C42" s="147">
        <v>35</v>
      </c>
      <c r="D42" s="137" t="s">
        <v>731</v>
      </c>
      <c r="E42" s="137" t="s">
        <v>732</v>
      </c>
      <c r="F42" s="138">
        <v>1</v>
      </c>
    </row>
    <row r="43" spans="2:6" ht="33" customHeight="1">
      <c r="B43" s="159"/>
      <c r="C43" s="147">
        <v>36</v>
      </c>
      <c r="D43" s="137" t="s">
        <v>733</v>
      </c>
      <c r="E43" s="137" t="s">
        <v>734</v>
      </c>
      <c r="F43" s="138">
        <v>1</v>
      </c>
    </row>
    <row r="44" spans="2:6" ht="33" customHeight="1">
      <c r="B44" s="159"/>
      <c r="C44" s="147">
        <v>37</v>
      </c>
      <c r="D44" s="137" t="s">
        <v>735</v>
      </c>
      <c r="E44" s="137" t="s">
        <v>736</v>
      </c>
      <c r="F44" s="138">
        <v>1</v>
      </c>
    </row>
    <row r="45" spans="2:6" ht="33" customHeight="1">
      <c r="B45" s="159"/>
      <c r="C45" s="147">
        <v>38</v>
      </c>
      <c r="D45" s="137" t="s">
        <v>737</v>
      </c>
      <c r="E45" s="137" t="s">
        <v>738</v>
      </c>
      <c r="F45" s="154">
        <v>0</v>
      </c>
    </row>
    <row r="46" spans="2:6" ht="34.5" customHeight="1">
      <c r="B46" s="139" t="s">
        <v>255</v>
      </c>
      <c r="C46" s="139"/>
      <c r="D46" s="139"/>
      <c r="E46" s="150">
        <f>F46/(C45*3)</f>
        <v>0.55263157894736847</v>
      </c>
      <c r="F46" s="139">
        <f>SUM(F8:F45)</f>
        <v>63</v>
      </c>
    </row>
  </sheetData>
  <mergeCells count="8">
    <mergeCell ref="B40:B45"/>
    <mergeCell ref="B3:F3"/>
    <mergeCell ref="B4:D5"/>
    <mergeCell ref="B8:B14"/>
    <mergeCell ref="B15:B20"/>
    <mergeCell ref="B21:B27"/>
    <mergeCell ref="B34:B39"/>
    <mergeCell ref="B28:B3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4EF9-C74A-4C72-93E9-744B5D5A0A76}">
  <dimension ref="B1:T188"/>
  <sheetViews>
    <sheetView zoomScaleNormal="100" workbookViewId="0">
      <selection activeCell="M16" sqref="M16"/>
    </sheetView>
  </sheetViews>
  <sheetFormatPr defaultColWidth="8.83203125" defaultRowHeight="17"/>
  <cols>
    <col min="4" max="5" width="10.58203125" customWidth="1"/>
    <col min="6" max="6" width="17.58203125" customWidth="1"/>
    <col min="7" max="11" width="10.58203125" customWidth="1"/>
  </cols>
  <sheetData>
    <row r="1" spans="2:19" ht="17.5" thickBot="1"/>
    <row r="2" spans="2:19" ht="17.5" thickBot="1">
      <c r="B2" s="182" t="s">
        <v>61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4"/>
    </row>
    <row r="3" spans="2:19" ht="101.15" customHeight="1" thickBot="1">
      <c r="B3" s="185" t="s">
        <v>65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7"/>
    </row>
    <row r="4" spans="2:19" ht="17.5" thickBot="1">
      <c r="B4" s="188"/>
      <c r="C4" s="189"/>
      <c r="D4" s="190" t="s">
        <v>32</v>
      </c>
      <c r="E4" s="191"/>
      <c r="F4" s="192"/>
      <c r="G4" s="193" t="s">
        <v>33</v>
      </c>
      <c r="H4" s="194"/>
      <c r="I4" s="194"/>
      <c r="J4" s="194"/>
      <c r="K4" s="195"/>
      <c r="L4" s="196" t="s">
        <v>62</v>
      </c>
      <c r="M4" s="197"/>
      <c r="N4" s="198" t="s">
        <v>63</v>
      </c>
      <c r="O4" s="199"/>
      <c r="P4" s="200"/>
    </row>
    <row r="5" spans="2:19" ht="17.5" thickBot="1">
      <c r="B5" s="22" t="s">
        <v>0</v>
      </c>
      <c r="C5" s="68" t="s">
        <v>64</v>
      </c>
      <c r="D5" s="61" t="s">
        <v>34</v>
      </c>
      <c r="E5" s="24" t="s">
        <v>36</v>
      </c>
      <c r="F5" s="25" t="s">
        <v>35</v>
      </c>
      <c r="G5" s="26" t="s">
        <v>38</v>
      </c>
      <c r="H5" s="27" t="s">
        <v>39</v>
      </c>
      <c r="I5" s="28" t="s">
        <v>34</v>
      </c>
      <c r="J5" s="27" t="s">
        <v>35</v>
      </c>
      <c r="K5" s="23" t="s">
        <v>1</v>
      </c>
      <c r="L5" s="83" t="s">
        <v>85</v>
      </c>
      <c r="M5" s="29"/>
      <c r="N5" s="83" t="s">
        <v>39</v>
      </c>
      <c r="O5" s="27" t="s">
        <v>87</v>
      </c>
      <c r="P5" s="29"/>
      <c r="Q5" s="19"/>
      <c r="R5" s="2"/>
      <c r="S5" s="2"/>
    </row>
    <row r="6" spans="2:19" ht="21">
      <c r="B6" s="175" t="s">
        <v>57</v>
      </c>
      <c r="C6" s="69" t="s">
        <v>2</v>
      </c>
      <c r="D6" s="82" t="s">
        <v>43</v>
      </c>
      <c r="E6" s="31"/>
      <c r="F6" s="32"/>
      <c r="G6" s="30"/>
      <c r="H6" s="31"/>
      <c r="I6" s="51" t="s">
        <v>43</v>
      </c>
      <c r="J6" s="31"/>
      <c r="K6" s="33"/>
      <c r="L6" s="93" t="s">
        <v>43</v>
      </c>
      <c r="M6" s="35"/>
      <c r="N6" s="76"/>
      <c r="O6" s="34"/>
      <c r="P6" s="35"/>
      <c r="Q6" s="13"/>
      <c r="R6" s="2"/>
      <c r="S6" s="2"/>
    </row>
    <row r="7" spans="2:19" ht="17.5">
      <c r="B7" s="176"/>
      <c r="C7" s="70" t="s">
        <v>4</v>
      </c>
      <c r="D7" s="63" t="s">
        <v>3</v>
      </c>
      <c r="E7" s="4"/>
      <c r="F7" s="5"/>
      <c r="G7" s="3"/>
      <c r="H7" s="4"/>
      <c r="I7" s="4"/>
      <c r="J7" s="4"/>
      <c r="K7" s="11"/>
      <c r="L7" s="84"/>
      <c r="M7" s="15"/>
      <c r="N7" s="84"/>
      <c r="O7" s="1"/>
      <c r="P7" s="15"/>
      <c r="Q7" s="13"/>
      <c r="R7" s="2"/>
      <c r="S7" s="2"/>
    </row>
    <row r="8" spans="2:19" ht="17.5">
      <c r="B8" s="176"/>
      <c r="C8" s="70" t="s">
        <v>5</v>
      </c>
      <c r="D8" s="63" t="s">
        <v>3</v>
      </c>
      <c r="E8" s="4"/>
      <c r="F8" s="5" t="s">
        <v>3</v>
      </c>
      <c r="G8" s="3" t="s">
        <v>3</v>
      </c>
      <c r="H8" s="4"/>
      <c r="I8" s="4" t="s">
        <v>3</v>
      </c>
      <c r="J8" s="4" t="s">
        <v>3</v>
      </c>
      <c r="K8" s="11"/>
      <c r="L8" s="84"/>
      <c r="M8" s="15"/>
      <c r="N8" s="84"/>
      <c r="O8" s="1"/>
      <c r="P8" s="15"/>
      <c r="Q8" s="13"/>
      <c r="R8" s="2"/>
      <c r="S8" s="2"/>
    </row>
    <row r="9" spans="2:19" ht="21">
      <c r="B9" s="176"/>
      <c r="C9" s="70" t="s">
        <v>58</v>
      </c>
      <c r="D9" s="63"/>
      <c r="E9" s="4"/>
      <c r="F9" s="5"/>
      <c r="G9" s="3" t="s">
        <v>3</v>
      </c>
      <c r="H9" s="4"/>
      <c r="I9" s="4"/>
      <c r="J9" s="4"/>
      <c r="K9" s="11" t="s">
        <v>3</v>
      </c>
      <c r="L9" s="87" t="s">
        <v>43</v>
      </c>
      <c r="M9" s="15"/>
      <c r="N9" s="84"/>
      <c r="O9" s="1"/>
      <c r="P9" s="15"/>
      <c r="Q9" s="13"/>
      <c r="R9" s="2"/>
      <c r="S9" s="2"/>
    </row>
    <row r="10" spans="2:19" ht="21">
      <c r="B10" s="176"/>
      <c r="C10" s="70" t="s">
        <v>59</v>
      </c>
      <c r="D10" s="63"/>
      <c r="E10" s="4" t="s">
        <v>3</v>
      </c>
      <c r="F10" s="5"/>
      <c r="G10" s="3" t="s">
        <v>3</v>
      </c>
      <c r="H10" s="4"/>
      <c r="I10" s="4"/>
      <c r="J10" s="4"/>
      <c r="K10" s="11"/>
      <c r="L10" s="87" t="s">
        <v>43</v>
      </c>
      <c r="M10" s="15"/>
      <c r="N10" s="84"/>
      <c r="O10" s="1"/>
      <c r="P10" s="15"/>
      <c r="Q10" s="13"/>
      <c r="R10" s="2"/>
      <c r="S10" s="2"/>
    </row>
    <row r="11" spans="2:19" ht="17.5">
      <c r="B11" s="176"/>
      <c r="C11" s="70" t="s">
        <v>6</v>
      </c>
      <c r="D11" s="63"/>
      <c r="E11" s="4" t="s">
        <v>3</v>
      </c>
      <c r="F11" s="5"/>
      <c r="G11" s="3"/>
      <c r="H11" s="4"/>
      <c r="I11" s="4" t="s">
        <v>3</v>
      </c>
      <c r="J11" s="4"/>
      <c r="K11" s="11" t="s">
        <v>3</v>
      </c>
      <c r="L11" s="84"/>
      <c r="M11" s="15"/>
      <c r="N11" s="84"/>
      <c r="O11" s="1"/>
      <c r="P11" s="15"/>
      <c r="Q11" s="13"/>
      <c r="R11" s="2"/>
      <c r="S11" s="2"/>
    </row>
    <row r="12" spans="2:19" ht="21">
      <c r="B12" s="176"/>
      <c r="C12" s="70" t="s">
        <v>7</v>
      </c>
      <c r="D12" s="63"/>
      <c r="E12" s="4"/>
      <c r="F12" s="5" t="s">
        <v>3</v>
      </c>
      <c r="G12" s="3" t="s">
        <v>3</v>
      </c>
      <c r="H12" s="4" t="s">
        <v>3</v>
      </c>
      <c r="I12" s="4" t="s">
        <v>3</v>
      </c>
      <c r="J12" s="4" t="s">
        <v>3</v>
      </c>
      <c r="K12" s="11"/>
      <c r="L12" s="87" t="s">
        <v>43</v>
      </c>
      <c r="M12" s="15"/>
      <c r="N12" s="84" t="s">
        <v>3</v>
      </c>
      <c r="O12" s="4" t="s">
        <v>3</v>
      </c>
      <c r="P12" s="15"/>
      <c r="Q12" s="13"/>
      <c r="R12" s="2"/>
      <c r="S12" s="2"/>
    </row>
    <row r="13" spans="2:19" ht="17.5">
      <c r="B13" s="176"/>
      <c r="C13" s="70" t="s">
        <v>44</v>
      </c>
      <c r="D13" s="63"/>
      <c r="E13" s="4"/>
      <c r="F13" s="5" t="s">
        <v>3</v>
      </c>
      <c r="G13" s="3"/>
      <c r="H13" s="4"/>
      <c r="I13" s="4"/>
      <c r="J13" s="4" t="s">
        <v>3</v>
      </c>
      <c r="K13" s="11"/>
      <c r="L13" s="84"/>
      <c r="M13" s="15"/>
      <c r="N13" s="84"/>
      <c r="O13" s="1"/>
      <c r="P13" s="15"/>
      <c r="Q13" s="13"/>
      <c r="R13" s="2"/>
      <c r="S13" s="2"/>
    </row>
    <row r="14" spans="2:19" ht="17.5">
      <c r="B14" s="176"/>
      <c r="C14" s="70" t="s">
        <v>45</v>
      </c>
      <c r="D14" s="63"/>
      <c r="E14" s="4"/>
      <c r="F14" s="5" t="s">
        <v>3</v>
      </c>
      <c r="G14" s="3"/>
      <c r="H14" s="4"/>
      <c r="I14" s="4"/>
      <c r="J14" s="4" t="s">
        <v>3</v>
      </c>
      <c r="K14" s="11"/>
      <c r="L14" s="84"/>
      <c r="M14" s="15"/>
      <c r="N14" s="84"/>
      <c r="O14" s="4" t="s">
        <v>3</v>
      </c>
      <c r="P14" s="15"/>
      <c r="Q14" s="13"/>
      <c r="R14" s="2"/>
      <c r="S14" s="2"/>
    </row>
    <row r="15" spans="2:19" ht="17.5">
      <c r="B15" s="176"/>
      <c r="C15" s="70" t="s">
        <v>46</v>
      </c>
      <c r="D15" s="63"/>
      <c r="E15" s="4"/>
      <c r="F15" s="5" t="s">
        <v>3</v>
      </c>
      <c r="G15" s="3"/>
      <c r="H15" s="4"/>
      <c r="I15" s="4"/>
      <c r="J15" s="4" t="s">
        <v>3</v>
      </c>
      <c r="K15" s="11"/>
      <c r="L15" s="84"/>
      <c r="M15" s="15"/>
      <c r="N15" s="84"/>
      <c r="O15" s="4" t="s">
        <v>3</v>
      </c>
      <c r="P15" s="15"/>
      <c r="Q15" s="13"/>
      <c r="R15" s="2"/>
      <c r="S15" s="2"/>
    </row>
    <row r="16" spans="2:19" ht="21">
      <c r="B16" s="176"/>
      <c r="C16" s="70" t="s">
        <v>8</v>
      </c>
      <c r="D16" s="63"/>
      <c r="E16" s="4"/>
      <c r="F16" s="5"/>
      <c r="G16" s="3"/>
      <c r="H16" s="4" t="s">
        <v>3</v>
      </c>
      <c r="I16" s="4"/>
      <c r="J16" s="4"/>
      <c r="K16" s="11"/>
      <c r="L16" s="87" t="s">
        <v>43</v>
      </c>
      <c r="M16" s="15"/>
      <c r="N16" s="84" t="s">
        <v>3</v>
      </c>
      <c r="O16" s="4" t="s">
        <v>3</v>
      </c>
      <c r="P16" s="15"/>
      <c r="Q16" s="13"/>
      <c r="R16" s="2"/>
      <c r="S16" s="2"/>
    </row>
    <row r="17" spans="2:20" ht="21.5" thickBot="1">
      <c r="B17" s="177"/>
      <c r="C17" s="71" t="s">
        <v>9</v>
      </c>
      <c r="D17" s="64"/>
      <c r="E17" s="37"/>
      <c r="F17" s="38"/>
      <c r="G17" s="36"/>
      <c r="H17" s="37" t="s">
        <v>3</v>
      </c>
      <c r="I17" s="37"/>
      <c r="J17" s="37"/>
      <c r="K17" s="39"/>
      <c r="L17" s="85"/>
      <c r="M17" s="41"/>
      <c r="N17" s="85" t="s">
        <v>3</v>
      </c>
      <c r="O17" s="37" t="s">
        <v>3</v>
      </c>
      <c r="P17" s="41"/>
      <c r="Q17" s="13"/>
      <c r="R17" s="2"/>
      <c r="S17" s="2"/>
    </row>
    <row r="18" spans="2:20" ht="17.5">
      <c r="B18" s="178" t="s">
        <v>34</v>
      </c>
      <c r="C18" s="69" t="s">
        <v>10</v>
      </c>
      <c r="D18" s="62" t="s">
        <v>3</v>
      </c>
      <c r="E18" s="31" t="s">
        <v>3</v>
      </c>
      <c r="F18" s="32" t="s">
        <v>3</v>
      </c>
      <c r="G18" s="30"/>
      <c r="H18" s="31"/>
      <c r="I18" s="31" t="s">
        <v>3</v>
      </c>
      <c r="J18" s="31"/>
      <c r="K18" s="33"/>
      <c r="L18" s="76"/>
      <c r="M18" s="35"/>
      <c r="N18" s="76"/>
      <c r="O18" s="34"/>
      <c r="P18" s="35"/>
      <c r="Q18" s="13"/>
      <c r="R18" s="2"/>
      <c r="S18" s="2"/>
    </row>
    <row r="19" spans="2:20" ht="21">
      <c r="B19" s="176"/>
      <c r="C19" s="70" t="s">
        <v>11</v>
      </c>
      <c r="D19" s="63" t="s">
        <v>3</v>
      </c>
      <c r="E19" s="4" t="s">
        <v>3</v>
      </c>
      <c r="F19" s="5" t="s">
        <v>3</v>
      </c>
      <c r="G19" s="3"/>
      <c r="H19" s="4"/>
      <c r="I19" s="4" t="s">
        <v>3</v>
      </c>
      <c r="J19" s="4" t="s">
        <v>3</v>
      </c>
      <c r="K19" s="11" t="s">
        <v>3</v>
      </c>
      <c r="L19" s="87" t="s">
        <v>43</v>
      </c>
      <c r="M19" s="15"/>
      <c r="N19" s="84"/>
      <c r="O19" s="1"/>
      <c r="P19" s="15"/>
      <c r="Q19" s="13"/>
      <c r="R19" s="2"/>
      <c r="S19" s="2"/>
    </row>
    <row r="20" spans="2:20" ht="17.5">
      <c r="B20" s="176"/>
      <c r="C20" s="70" t="s">
        <v>48</v>
      </c>
      <c r="D20" s="63"/>
      <c r="E20" s="4"/>
      <c r="F20" s="5"/>
      <c r="G20" s="3"/>
      <c r="H20" s="4"/>
      <c r="I20" s="4"/>
      <c r="J20" s="4" t="s">
        <v>3</v>
      </c>
      <c r="K20" s="11"/>
      <c r="L20" s="84"/>
      <c r="M20" s="15"/>
      <c r="N20" s="84"/>
      <c r="O20" s="1"/>
      <c r="P20" s="15"/>
      <c r="Q20" s="13"/>
      <c r="R20" s="2"/>
      <c r="S20" s="2"/>
    </row>
    <row r="21" spans="2:20" ht="17.5">
      <c r="B21" s="176"/>
      <c r="C21" s="70" t="s">
        <v>41</v>
      </c>
      <c r="D21" s="63"/>
      <c r="E21" s="4"/>
      <c r="F21" s="5"/>
      <c r="G21" s="3" t="s">
        <v>3</v>
      </c>
      <c r="H21" s="4"/>
      <c r="I21" s="4"/>
      <c r="J21" s="4"/>
      <c r="K21" s="11"/>
      <c r="L21" s="84"/>
      <c r="M21" s="15"/>
      <c r="N21" s="84"/>
      <c r="O21" s="1"/>
      <c r="P21" s="15"/>
      <c r="Q21" s="13"/>
      <c r="R21" s="2"/>
      <c r="S21" s="2"/>
    </row>
    <row r="22" spans="2:20" ht="17.5">
      <c r="B22" s="176"/>
      <c r="C22" s="70" t="s">
        <v>12</v>
      </c>
      <c r="D22" s="63" t="s">
        <v>3</v>
      </c>
      <c r="E22" s="4" t="s">
        <v>3</v>
      </c>
      <c r="F22" s="5" t="s">
        <v>3</v>
      </c>
      <c r="G22" s="3"/>
      <c r="H22" s="4"/>
      <c r="I22" s="4" t="s">
        <v>3</v>
      </c>
      <c r="J22" s="4"/>
      <c r="K22" s="11"/>
      <c r="L22" s="84"/>
      <c r="M22" s="15"/>
      <c r="N22" s="84"/>
      <c r="O22" s="1"/>
      <c r="P22" s="15"/>
      <c r="Q22" s="13"/>
      <c r="R22" s="2"/>
      <c r="T22" s="2"/>
    </row>
    <row r="23" spans="2:20" ht="17.5">
      <c r="B23" s="176"/>
      <c r="C23" s="70" t="s">
        <v>13</v>
      </c>
      <c r="D23" s="63" t="s">
        <v>3</v>
      </c>
      <c r="E23" s="4"/>
      <c r="F23" s="5" t="s">
        <v>3</v>
      </c>
      <c r="G23" s="3"/>
      <c r="H23" s="4"/>
      <c r="I23" s="4" t="s">
        <v>3</v>
      </c>
      <c r="J23" s="4" t="s">
        <v>3</v>
      </c>
      <c r="K23" s="11"/>
      <c r="L23" s="84"/>
      <c r="M23" s="15"/>
      <c r="N23" s="84"/>
      <c r="O23" s="1"/>
      <c r="P23" s="15"/>
      <c r="Q23" s="13"/>
      <c r="R23" s="2"/>
      <c r="S23" s="2"/>
    </row>
    <row r="24" spans="2:20" ht="17.5">
      <c r="B24" s="176"/>
      <c r="C24" s="70" t="s">
        <v>14</v>
      </c>
      <c r="D24" s="63" t="s">
        <v>3</v>
      </c>
      <c r="E24" s="4"/>
      <c r="F24" s="5" t="s">
        <v>3</v>
      </c>
      <c r="G24" s="3"/>
      <c r="H24" s="4"/>
      <c r="I24" s="4"/>
      <c r="J24" s="4"/>
      <c r="K24" s="11"/>
      <c r="L24" s="84"/>
      <c r="M24" s="15"/>
      <c r="N24" s="84"/>
      <c r="O24" s="1"/>
      <c r="P24" s="15"/>
      <c r="Q24" s="13"/>
      <c r="R24" s="2"/>
      <c r="S24" s="2"/>
    </row>
    <row r="25" spans="2:20" ht="21">
      <c r="B25" s="176"/>
      <c r="C25" s="70" t="s">
        <v>15</v>
      </c>
      <c r="D25" s="63" t="s">
        <v>3</v>
      </c>
      <c r="E25" s="4"/>
      <c r="F25" s="5" t="s">
        <v>3</v>
      </c>
      <c r="G25" s="3"/>
      <c r="H25" s="4"/>
      <c r="I25" s="4"/>
      <c r="J25" s="4"/>
      <c r="K25" s="11"/>
      <c r="L25" s="87" t="s">
        <v>43</v>
      </c>
      <c r="M25" s="15"/>
      <c r="N25" s="84"/>
      <c r="O25" s="1"/>
      <c r="P25" s="15"/>
      <c r="Q25" s="13"/>
      <c r="R25" s="2"/>
      <c r="S25" s="2"/>
    </row>
    <row r="26" spans="2:20" ht="17.5">
      <c r="B26" s="176"/>
      <c r="C26" s="70" t="s">
        <v>16</v>
      </c>
      <c r="D26" s="63"/>
      <c r="E26" s="4"/>
      <c r="F26" s="5"/>
      <c r="G26" s="3"/>
      <c r="H26" s="4"/>
      <c r="I26" s="4" t="s">
        <v>3</v>
      </c>
      <c r="J26" s="4"/>
      <c r="K26" s="11"/>
      <c r="L26" s="84"/>
      <c r="M26" s="15"/>
      <c r="N26" s="84"/>
      <c r="O26" s="1"/>
      <c r="P26" s="15"/>
      <c r="Q26" s="13"/>
      <c r="R26" s="2"/>
      <c r="S26" s="2"/>
    </row>
    <row r="27" spans="2:20" ht="21">
      <c r="B27" s="179"/>
      <c r="C27" s="70" t="s">
        <v>88</v>
      </c>
      <c r="D27" s="63"/>
      <c r="E27" s="4"/>
      <c r="F27" s="5"/>
      <c r="G27" s="3"/>
      <c r="H27" s="86" t="s">
        <v>3</v>
      </c>
      <c r="I27" s="4"/>
      <c r="J27" s="4"/>
      <c r="K27" s="11"/>
      <c r="L27" s="87"/>
      <c r="M27" s="88"/>
      <c r="N27" s="87" t="s">
        <v>43</v>
      </c>
      <c r="O27" s="4" t="s">
        <v>3</v>
      </c>
      <c r="P27" s="88"/>
      <c r="Q27" s="13"/>
      <c r="R27" s="2"/>
      <c r="S27" s="2"/>
    </row>
    <row r="28" spans="2:20" ht="21.5" thickBot="1">
      <c r="B28" s="177"/>
      <c r="C28" s="71" t="s">
        <v>89</v>
      </c>
      <c r="D28" s="64"/>
      <c r="E28" s="37"/>
      <c r="F28" s="38"/>
      <c r="G28" s="36"/>
      <c r="H28" s="52" t="s">
        <v>3</v>
      </c>
      <c r="I28" s="37"/>
      <c r="J28" s="37"/>
      <c r="K28" s="39"/>
      <c r="L28" s="85"/>
      <c r="M28" s="41"/>
      <c r="N28" s="85" t="s">
        <v>3</v>
      </c>
      <c r="O28" s="52" t="s">
        <v>3</v>
      </c>
      <c r="P28" s="41"/>
      <c r="Q28" s="13"/>
      <c r="R28" s="2"/>
      <c r="S28" s="2"/>
    </row>
    <row r="29" spans="2:20" ht="21">
      <c r="B29" s="175" t="s">
        <v>50</v>
      </c>
      <c r="C29" s="69" t="s">
        <v>17</v>
      </c>
      <c r="D29" s="62" t="s">
        <v>3</v>
      </c>
      <c r="E29" s="31"/>
      <c r="F29" s="32"/>
      <c r="G29" s="30"/>
      <c r="H29" s="31"/>
      <c r="I29" s="31"/>
      <c r="J29" s="42"/>
      <c r="K29" s="33"/>
      <c r="L29" s="93" t="s">
        <v>43</v>
      </c>
      <c r="M29" s="35"/>
      <c r="N29" s="76"/>
      <c r="O29" s="34"/>
      <c r="P29" s="35"/>
      <c r="Q29" s="13"/>
      <c r="R29" s="2"/>
      <c r="S29" s="2"/>
    </row>
    <row r="30" spans="2:20" ht="21">
      <c r="B30" s="176"/>
      <c r="C30" s="70" t="s">
        <v>18</v>
      </c>
      <c r="D30" s="63" t="s">
        <v>3</v>
      </c>
      <c r="E30" s="4"/>
      <c r="F30" s="5"/>
      <c r="G30" s="3"/>
      <c r="H30" s="4"/>
      <c r="I30" s="4"/>
      <c r="J30" s="4"/>
      <c r="K30" s="11"/>
      <c r="L30" s="87" t="s">
        <v>43</v>
      </c>
      <c r="M30" s="15"/>
      <c r="N30" s="84"/>
      <c r="O30" s="1"/>
      <c r="P30" s="15"/>
      <c r="Q30" s="13"/>
      <c r="R30" s="2"/>
      <c r="S30" s="2"/>
    </row>
    <row r="31" spans="2:20" ht="21">
      <c r="B31" s="176"/>
      <c r="C31" s="70" t="s">
        <v>19</v>
      </c>
      <c r="D31" s="63" t="s">
        <v>3</v>
      </c>
      <c r="E31" s="4"/>
      <c r="F31" s="5"/>
      <c r="G31" s="3"/>
      <c r="H31" s="4"/>
      <c r="I31" s="4"/>
      <c r="J31" s="4"/>
      <c r="K31" s="11"/>
      <c r="L31" s="87" t="s">
        <v>43</v>
      </c>
      <c r="M31" s="15"/>
      <c r="N31" s="84"/>
      <c r="O31" s="1"/>
      <c r="P31" s="15"/>
      <c r="Q31" s="13"/>
      <c r="R31" s="2"/>
      <c r="S31" s="2"/>
    </row>
    <row r="32" spans="2:20" ht="21">
      <c r="B32" s="176"/>
      <c r="C32" s="70" t="s">
        <v>20</v>
      </c>
      <c r="D32" s="63" t="s">
        <v>3</v>
      </c>
      <c r="E32" s="4"/>
      <c r="F32" s="5"/>
      <c r="G32" s="3"/>
      <c r="H32" s="4"/>
      <c r="I32" s="4" t="s">
        <v>3</v>
      </c>
      <c r="J32" s="4"/>
      <c r="K32" s="11"/>
      <c r="L32" s="87" t="s">
        <v>43</v>
      </c>
      <c r="M32" s="15"/>
      <c r="N32" s="84"/>
      <c r="O32" s="1"/>
      <c r="P32" s="15"/>
      <c r="Q32" s="13"/>
      <c r="R32" s="2"/>
      <c r="S32" s="2"/>
    </row>
    <row r="33" spans="2:19" ht="17.5">
      <c r="B33" s="176"/>
      <c r="C33" s="70" t="s">
        <v>40</v>
      </c>
      <c r="D33" s="63"/>
      <c r="E33" s="4"/>
      <c r="F33" s="5"/>
      <c r="G33" s="3" t="s">
        <v>3</v>
      </c>
      <c r="H33" s="4"/>
      <c r="I33" s="4"/>
      <c r="J33" s="4"/>
      <c r="K33" s="11"/>
      <c r="L33" s="84"/>
      <c r="M33" s="15"/>
      <c r="N33" s="84"/>
      <c r="O33" s="1"/>
      <c r="P33" s="15"/>
      <c r="Q33" s="13"/>
      <c r="R33" s="2"/>
      <c r="S33" s="2"/>
    </row>
    <row r="34" spans="2:19" ht="17.5">
      <c r="B34" s="176"/>
      <c r="C34" s="70" t="s">
        <v>47</v>
      </c>
      <c r="D34" s="63"/>
      <c r="E34" s="4"/>
      <c r="F34" s="5" t="s">
        <v>3</v>
      </c>
      <c r="G34" s="3"/>
      <c r="H34" s="4"/>
      <c r="I34" s="4"/>
      <c r="J34" s="4" t="s">
        <v>3</v>
      </c>
      <c r="K34" s="11"/>
      <c r="L34" s="84"/>
      <c r="M34" s="15"/>
      <c r="N34" s="84"/>
      <c r="O34" s="1"/>
      <c r="P34" s="15"/>
      <c r="Q34" s="13"/>
      <c r="R34" s="2"/>
      <c r="S34" s="2"/>
    </row>
    <row r="35" spans="2:19" ht="17.5">
      <c r="B35" s="176"/>
      <c r="C35" s="70" t="s">
        <v>21</v>
      </c>
      <c r="D35" s="63"/>
      <c r="E35" s="4"/>
      <c r="F35" s="5" t="s">
        <v>3</v>
      </c>
      <c r="G35" s="3"/>
      <c r="H35" s="4"/>
      <c r="I35" s="4"/>
      <c r="J35" s="4" t="s">
        <v>3</v>
      </c>
      <c r="K35" s="11"/>
      <c r="L35" s="84"/>
      <c r="M35" s="15"/>
      <c r="N35" s="84"/>
      <c r="O35" s="1"/>
      <c r="P35" s="15"/>
      <c r="Q35" s="19"/>
      <c r="R35" s="2"/>
      <c r="S35" s="2"/>
    </row>
    <row r="36" spans="2:19" ht="17.5">
      <c r="B36" s="176"/>
      <c r="C36" s="70" t="s">
        <v>22</v>
      </c>
      <c r="D36" s="63"/>
      <c r="E36" s="4"/>
      <c r="F36" s="5" t="s">
        <v>3</v>
      </c>
      <c r="G36" s="3"/>
      <c r="H36" s="4"/>
      <c r="I36" s="4"/>
      <c r="J36" s="4" t="s">
        <v>3</v>
      </c>
      <c r="K36" s="11"/>
      <c r="L36" s="84"/>
      <c r="M36" s="15"/>
      <c r="N36" s="84"/>
      <c r="O36" s="1"/>
      <c r="P36" s="15"/>
      <c r="Q36" s="13"/>
      <c r="R36" s="2"/>
      <c r="S36" s="2"/>
    </row>
    <row r="37" spans="2:19" ht="17.5">
      <c r="B37" s="176"/>
      <c r="C37" s="70" t="s">
        <v>23</v>
      </c>
      <c r="D37" s="63"/>
      <c r="E37" s="4"/>
      <c r="F37" s="5" t="s">
        <v>3</v>
      </c>
      <c r="G37" s="3"/>
      <c r="H37" s="4"/>
      <c r="I37" s="4"/>
      <c r="J37" s="4" t="s">
        <v>3</v>
      </c>
      <c r="K37" s="11"/>
      <c r="L37" s="84"/>
      <c r="M37" s="15"/>
      <c r="N37" s="84"/>
      <c r="O37" s="1"/>
      <c r="P37" s="15"/>
      <c r="Q37" s="13"/>
      <c r="R37" s="2"/>
      <c r="S37" s="2"/>
    </row>
    <row r="38" spans="2:19" ht="17.5">
      <c r="B38" s="176"/>
      <c r="C38" s="70" t="s">
        <v>24</v>
      </c>
      <c r="D38" s="63"/>
      <c r="E38" s="4"/>
      <c r="F38" s="5" t="s">
        <v>3</v>
      </c>
      <c r="G38" s="3"/>
      <c r="H38" s="4"/>
      <c r="I38" s="4"/>
      <c r="J38" s="4" t="s">
        <v>3</v>
      </c>
      <c r="K38" s="11"/>
      <c r="L38" s="84"/>
      <c r="M38" s="15"/>
      <c r="N38" s="84"/>
      <c r="O38" s="1"/>
      <c r="P38" s="15"/>
      <c r="Q38" s="13"/>
      <c r="R38" s="2"/>
      <c r="S38" s="2"/>
    </row>
    <row r="39" spans="2:19" ht="17.5">
      <c r="B39" s="176"/>
      <c r="C39" s="70" t="s">
        <v>42</v>
      </c>
      <c r="D39" s="63"/>
      <c r="E39" s="4"/>
      <c r="F39" s="5"/>
      <c r="G39" s="3"/>
      <c r="H39" s="4" t="s">
        <v>3</v>
      </c>
      <c r="I39" s="4"/>
      <c r="J39" s="4"/>
      <c r="K39" s="11"/>
      <c r="L39" s="84"/>
      <c r="M39" s="15"/>
      <c r="N39" s="84" t="s">
        <v>3</v>
      </c>
      <c r="O39" s="4" t="s">
        <v>3</v>
      </c>
      <c r="P39" s="15"/>
      <c r="Q39" s="13"/>
      <c r="R39" s="2"/>
      <c r="S39" s="2"/>
    </row>
    <row r="40" spans="2:19" ht="17.5">
      <c r="B40" s="176"/>
      <c r="C40" s="70" t="s">
        <v>25</v>
      </c>
      <c r="D40" s="63"/>
      <c r="E40" s="4"/>
      <c r="F40" s="5"/>
      <c r="G40" s="3"/>
      <c r="H40" s="4" t="s">
        <v>3</v>
      </c>
      <c r="I40" s="4"/>
      <c r="J40" s="4"/>
      <c r="K40" s="11"/>
      <c r="L40" s="84"/>
      <c r="M40" s="15"/>
      <c r="N40" s="84" t="s">
        <v>3</v>
      </c>
      <c r="O40" s="4" t="s">
        <v>3</v>
      </c>
      <c r="P40" s="15"/>
      <c r="Q40" s="13"/>
      <c r="R40" s="2"/>
      <c r="S40" s="2"/>
    </row>
    <row r="41" spans="2:19" ht="17.5">
      <c r="B41" s="176"/>
      <c r="C41" s="70" t="s">
        <v>90</v>
      </c>
      <c r="D41" s="63"/>
      <c r="E41" s="4"/>
      <c r="F41" s="5"/>
      <c r="G41" s="3"/>
      <c r="H41" s="4"/>
      <c r="I41" s="4"/>
      <c r="J41" s="4"/>
      <c r="K41" s="11"/>
      <c r="L41" s="84"/>
      <c r="M41" s="15"/>
      <c r="N41" s="84"/>
      <c r="O41" s="4" t="s">
        <v>3</v>
      </c>
      <c r="P41" s="15"/>
      <c r="Q41" s="13"/>
      <c r="R41" s="2"/>
      <c r="S41" s="2"/>
    </row>
    <row r="42" spans="2:19" ht="17.5">
      <c r="B42" s="179"/>
      <c r="C42" s="72" t="s">
        <v>49</v>
      </c>
      <c r="D42" s="66"/>
      <c r="E42" s="54"/>
      <c r="F42" s="55" t="s">
        <v>3</v>
      </c>
      <c r="G42" s="53"/>
      <c r="H42" s="54"/>
      <c r="I42" s="54"/>
      <c r="J42" s="54"/>
      <c r="K42" s="56"/>
      <c r="L42" s="89"/>
      <c r="M42" s="88"/>
      <c r="N42" s="89"/>
      <c r="O42" s="54"/>
      <c r="P42" s="88"/>
      <c r="Q42" s="13"/>
      <c r="R42" s="2"/>
      <c r="S42" s="2"/>
    </row>
    <row r="43" spans="2:19" ht="21">
      <c r="B43" s="179"/>
      <c r="C43" s="72" t="s">
        <v>92</v>
      </c>
      <c r="D43" s="66"/>
      <c r="E43" s="54"/>
      <c r="F43" s="94"/>
      <c r="G43" s="53"/>
      <c r="H43" s="54"/>
      <c r="I43" s="54"/>
      <c r="J43" s="54"/>
      <c r="K43" s="56"/>
      <c r="L43" s="95" t="s">
        <v>43</v>
      </c>
      <c r="M43" s="88"/>
      <c r="N43" s="89"/>
      <c r="O43" s="54"/>
      <c r="P43" s="88"/>
      <c r="Q43" s="13"/>
      <c r="R43" s="2"/>
      <c r="S43" s="2"/>
    </row>
    <row r="44" spans="2:19" ht="21">
      <c r="B44" s="179"/>
      <c r="C44" s="72" t="s">
        <v>93</v>
      </c>
      <c r="D44" s="66"/>
      <c r="E44" s="54"/>
      <c r="F44" s="94"/>
      <c r="G44" s="53"/>
      <c r="H44" s="54"/>
      <c r="I44" s="54"/>
      <c r="J44" s="54"/>
      <c r="K44" s="56"/>
      <c r="L44" s="95" t="s">
        <v>43</v>
      </c>
      <c r="M44" s="88"/>
      <c r="N44" s="89"/>
      <c r="O44" s="54"/>
      <c r="P44" s="88"/>
      <c r="Q44" s="13"/>
      <c r="R44" s="2"/>
      <c r="S44" s="2"/>
    </row>
    <row r="45" spans="2:19" ht="21">
      <c r="B45" s="179"/>
      <c r="C45" s="72" t="s">
        <v>94</v>
      </c>
      <c r="D45" s="66"/>
      <c r="E45" s="54"/>
      <c r="F45" s="94"/>
      <c r="G45" s="53"/>
      <c r="H45" s="54"/>
      <c r="I45" s="54"/>
      <c r="J45" s="54"/>
      <c r="K45" s="56"/>
      <c r="L45" s="95" t="s">
        <v>43</v>
      </c>
      <c r="M45" s="88"/>
      <c r="N45" s="89"/>
      <c r="O45" s="54"/>
      <c r="P45" s="88"/>
      <c r="Q45" s="13"/>
      <c r="R45" s="2"/>
      <c r="S45" s="2"/>
    </row>
    <row r="46" spans="2:19" ht="21">
      <c r="B46" s="179"/>
      <c r="C46" s="72" t="s">
        <v>95</v>
      </c>
      <c r="D46" s="66"/>
      <c r="E46" s="54"/>
      <c r="F46" s="94"/>
      <c r="G46" s="53"/>
      <c r="H46" s="54"/>
      <c r="I46" s="54"/>
      <c r="J46" s="54"/>
      <c r="K46" s="56"/>
      <c r="L46" s="95" t="s">
        <v>43</v>
      </c>
      <c r="M46" s="88"/>
      <c r="N46" s="89"/>
      <c r="O46" s="54"/>
      <c r="P46" s="88"/>
      <c r="Q46" s="13"/>
      <c r="R46" s="2"/>
      <c r="S46" s="2"/>
    </row>
    <row r="47" spans="2:19" ht="21.5" thickBot="1">
      <c r="B47" s="177"/>
      <c r="C47" s="71" t="s">
        <v>96</v>
      </c>
      <c r="D47" s="64"/>
      <c r="E47" s="37"/>
      <c r="F47" s="43"/>
      <c r="G47" s="36"/>
      <c r="H47" s="37"/>
      <c r="I47" s="37"/>
      <c r="J47" s="37"/>
      <c r="K47" s="39"/>
      <c r="L47" s="96" t="s">
        <v>43</v>
      </c>
      <c r="M47" s="41"/>
      <c r="N47" s="85"/>
      <c r="O47" s="40"/>
      <c r="P47" s="41"/>
      <c r="Q47" s="13"/>
      <c r="R47" s="2"/>
      <c r="S47" s="2"/>
    </row>
    <row r="48" spans="2:19" ht="21">
      <c r="B48" s="178" t="s">
        <v>55</v>
      </c>
      <c r="C48" s="69" t="s">
        <v>51</v>
      </c>
      <c r="D48" s="62" t="s">
        <v>3</v>
      </c>
      <c r="E48" s="31" t="s">
        <v>3</v>
      </c>
      <c r="F48" s="32" t="s">
        <v>3</v>
      </c>
      <c r="G48" s="30"/>
      <c r="H48" s="31"/>
      <c r="I48" s="31" t="s">
        <v>3</v>
      </c>
      <c r="J48" s="31" t="s">
        <v>3</v>
      </c>
      <c r="K48" s="33" t="s">
        <v>3</v>
      </c>
      <c r="L48" s="93" t="s">
        <v>43</v>
      </c>
      <c r="M48" s="35"/>
      <c r="N48" s="76"/>
      <c r="O48" s="34"/>
      <c r="P48" s="35"/>
      <c r="Q48" s="13"/>
      <c r="R48" s="2"/>
      <c r="S48" s="2"/>
    </row>
    <row r="49" spans="2:19" ht="21">
      <c r="B49" s="176"/>
      <c r="C49" s="70" t="s">
        <v>52</v>
      </c>
      <c r="D49" s="63" t="s">
        <v>3</v>
      </c>
      <c r="E49" s="4"/>
      <c r="F49" s="5"/>
      <c r="G49" s="3"/>
      <c r="H49" s="4"/>
      <c r="I49" s="4"/>
      <c r="J49" s="4"/>
      <c r="K49" s="11"/>
      <c r="L49" s="87" t="s">
        <v>43</v>
      </c>
      <c r="M49" s="15"/>
      <c r="N49" s="84"/>
      <c r="O49" s="1"/>
      <c r="P49" s="15"/>
      <c r="Q49" s="19"/>
      <c r="R49" s="2"/>
      <c r="S49" s="2"/>
    </row>
    <row r="50" spans="2:19" ht="17.5">
      <c r="B50" s="176"/>
      <c r="C50" s="70" t="s">
        <v>53</v>
      </c>
      <c r="D50" s="63" t="s">
        <v>3</v>
      </c>
      <c r="E50" s="4" t="s">
        <v>3</v>
      </c>
      <c r="F50" s="5" t="s">
        <v>3</v>
      </c>
      <c r="G50" s="3"/>
      <c r="H50" s="4"/>
      <c r="I50" s="4" t="s">
        <v>3</v>
      </c>
      <c r="J50" s="4" t="s">
        <v>3</v>
      </c>
      <c r="K50" s="11" t="s">
        <v>3</v>
      </c>
      <c r="L50" s="84"/>
      <c r="M50" s="16"/>
      <c r="N50" s="84"/>
      <c r="O50" s="2"/>
      <c r="P50" s="16"/>
      <c r="Q50" s="14"/>
      <c r="R50" s="2"/>
      <c r="S50" s="2"/>
    </row>
    <row r="51" spans="2:19" ht="21">
      <c r="B51" s="176"/>
      <c r="C51" s="70" t="s">
        <v>37</v>
      </c>
      <c r="D51" s="63"/>
      <c r="E51" s="4"/>
      <c r="F51" s="5"/>
      <c r="G51" s="3" t="s">
        <v>3</v>
      </c>
      <c r="H51" s="4"/>
      <c r="I51" s="4"/>
      <c r="J51" s="4"/>
      <c r="K51" s="11"/>
      <c r="L51" s="87" t="s">
        <v>43</v>
      </c>
      <c r="M51" s="16"/>
      <c r="N51" s="84"/>
      <c r="O51" s="4" t="s">
        <v>3</v>
      </c>
      <c r="P51" s="16"/>
      <c r="Q51" s="14"/>
      <c r="R51" s="2"/>
      <c r="S51" s="2"/>
    </row>
    <row r="52" spans="2:19" ht="21">
      <c r="B52" s="176"/>
      <c r="C52" s="70" t="s">
        <v>39</v>
      </c>
      <c r="D52" s="63"/>
      <c r="E52" s="4"/>
      <c r="F52" s="5"/>
      <c r="G52" s="3"/>
      <c r="H52" s="4" t="s">
        <v>3</v>
      </c>
      <c r="I52" s="4"/>
      <c r="J52" s="4"/>
      <c r="K52" s="11"/>
      <c r="L52" s="87" t="s">
        <v>43</v>
      </c>
      <c r="M52" s="16"/>
      <c r="N52" s="3" t="s">
        <v>3</v>
      </c>
      <c r="O52" s="4" t="s">
        <v>3</v>
      </c>
      <c r="P52" s="16"/>
      <c r="Q52" s="14"/>
      <c r="R52" s="2"/>
      <c r="S52" s="2"/>
    </row>
    <row r="53" spans="2:19" ht="21.5" thickBot="1">
      <c r="B53" s="177"/>
      <c r="C53" s="71" t="s">
        <v>91</v>
      </c>
      <c r="D53" s="65"/>
      <c r="E53" s="46"/>
      <c r="F53" s="47"/>
      <c r="G53" s="45"/>
      <c r="H53" s="37"/>
      <c r="I53" s="46"/>
      <c r="J53" s="46"/>
      <c r="K53" s="48"/>
      <c r="L53" s="85"/>
      <c r="M53" s="18"/>
      <c r="N53" s="85"/>
      <c r="O53" s="37" t="s">
        <v>3</v>
      </c>
      <c r="P53" s="18"/>
      <c r="Q53" s="14"/>
      <c r="R53" s="2"/>
      <c r="S53" s="2"/>
    </row>
    <row r="54" spans="2:19" ht="17.5">
      <c r="B54" s="175" t="s">
        <v>66</v>
      </c>
      <c r="C54" s="69" t="s">
        <v>27</v>
      </c>
      <c r="D54" s="62" t="s">
        <v>3</v>
      </c>
      <c r="E54" s="31" t="s">
        <v>3</v>
      </c>
      <c r="F54" s="32" t="s">
        <v>3</v>
      </c>
      <c r="G54" s="30" t="s">
        <v>3</v>
      </c>
      <c r="H54" s="31"/>
      <c r="I54" s="31"/>
      <c r="J54" s="31" t="s">
        <v>3</v>
      </c>
      <c r="K54" s="33"/>
      <c r="L54" s="76"/>
      <c r="M54" s="50"/>
      <c r="N54" s="76"/>
      <c r="O54" s="49"/>
      <c r="P54" s="50"/>
      <c r="Q54" s="14"/>
      <c r="R54" s="2"/>
      <c r="S54" s="2"/>
    </row>
    <row r="55" spans="2:19" ht="18" thickBot="1">
      <c r="B55" s="179"/>
      <c r="C55" s="72" t="s">
        <v>26</v>
      </c>
      <c r="D55" s="66" t="s">
        <v>3</v>
      </c>
      <c r="E55" s="54" t="s">
        <v>3</v>
      </c>
      <c r="F55" s="55" t="s">
        <v>3</v>
      </c>
      <c r="G55" s="53" t="s">
        <v>3</v>
      </c>
      <c r="H55" s="54" t="s">
        <v>3</v>
      </c>
      <c r="I55" s="54" t="s">
        <v>3</v>
      </c>
      <c r="J55" s="54" t="s">
        <v>3</v>
      </c>
      <c r="K55" s="56" t="s">
        <v>3</v>
      </c>
      <c r="L55" s="89"/>
      <c r="M55" s="57"/>
      <c r="N55" s="89" t="s">
        <v>3</v>
      </c>
      <c r="O55" s="54" t="s">
        <v>3</v>
      </c>
      <c r="P55" s="57"/>
      <c r="Q55" s="14"/>
      <c r="R55" s="2"/>
      <c r="S55" s="2"/>
    </row>
    <row r="56" spans="2:19" ht="21">
      <c r="B56" s="180" t="s">
        <v>69</v>
      </c>
      <c r="C56" s="69" t="s">
        <v>67</v>
      </c>
      <c r="D56" s="76"/>
      <c r="E56" s="31"/>
      <c r="F56" s="75"/>
      <c r="G56" s="76"/>
      <c r="H56" s="31"/>
      <c r="I56" s="31"/>
      <c r="J56" s="31"/>
      <c r="K56" s="90"/>
      <c r="L56" s="93" t="s">
        <v>43</v>
      </c>
      <c r="M56" s="58"/>
      <c r="N56" s="76"/>
      <c r="O56" s="42"/>
      <c r="P56" s="58"/>
      <c r="Q56" s="14"/>
      <c r="R56" s="2"/>
      <c r="S56" s="2"/>
    </row>
    <row r="57" spans="2:19" ht="18" thickBot="1">
      <c r="B57" s="181"/>
      <c r="C57" s="81" t="s">
        <v>68</v>
      </c>
      <c r="D57" s="77"/>
      <c r="E57" s="52"/>
      <c r="F57" s="74"/>
      <c r="G57" s="77"/>
      <c r="H57" s="52"/>
      <c r="I57" s="52"/>
      <c r="J57" s="52"/>
      <c r="K57" s="91"/>
      <c r="L57" s="77"/>
      <c r="M57" s="60"/>
      <c r="N57" s="77"/>
      <c r="O57" s="59"/>
      <c r="P57" s="60"/>
      <c r="Q57" s="14"/>
      <c r="R57" s="2"/>
      <c r="S57" s="2"/>
    </row>
    <row r="58" spans="2:19" ht="17.5">
      <c r="B58" s="173" t="s">
        <v>56</v>
      </c>
      <c r="C58" s="73" t="s">
        <v>28</v>
      </c>
      <c r="D58" s="78" t="s">
        <v>3</v>
      </c>
      <c r="E58" s="21"/>
      <c r="F58" s="79"/>
      <c r="G58" s="20"/>
      <c r="H58" s="21"/>
      <c r="I58" s="21"/>
      <c r="J58" s="21"/>
      <c r="K58" s="80"/>
      <c r="L58" s="78"/>
      <c r="M58" s="44"/>
      <c r="N58" s="78"/>
      <c r="O58" s="10"/>
      <c r="P58" s="44"/>
      <c r="Q58" s="14"/>
      <c r="R58" s="2"/>
      <c r="S58" s="2"/>
    </row>
    <row r="59" spans="2:19" ht="17.5">
      <c r="B59" s="173"/>
      <c r="C59" s="70" t="s">
        <v>29</v>
      </c>
      <c r="D59" s="63" t="s">
        <v>3</v>
      </c>
      <c r="E59" s="4"/>
      <c r="F59" s="5"/>
      <c r="G59" s="3"/>
      <c r="H59" s="4"/>
      <c r="I59" s="4"/>
      <c r="J59" s="63"/>
      <c r="K59" s="11"/>
      <c r="L59" s="84"/>
      <c r="M59" s="16"/>
      <c r="N59" s="84"/>
      <c r="O59" s="2"/>
      <c r="P59" s="16"/>
      <c r="Q59" s="14"/>
      <c r="R59" s="2"/>
      <c r="S59" s="2"/>
    </row>
    <row r="60" spans="2:19" ht="17.5">
      <c r="B60" s="173"/>
      <c r="C60" s="70" t="s">
        <v>30</v>
      </c>
      <c r="D60" s="63"/>
      <c r="E60" s="4"/>
      <c r="F60" s="5"/>
      <c r="G60" s="3" t="s">
        <v>3</v>
      </c>
      <c r="H60" s="4"/>
      <c r="I60" s="4"/>
      <c r="J60" s="4"/>
      <c r="K60" s="11"/>
      <c r="L60" s="84"/>
      <c r="M60" s="16"/>
      <c r="N60" s="84"/>
      <c r="O60" s="2"/>
      <c r="P60" s="16"/>
      <c r="Q60" s="14"/>
      <c r="R60" s="2"/>
      <c r="S60" s="2"/>
    </row>
    <row r="61" spans="2:19" ht="17.5">
      <c r="B61" s="173"/>
      <c r="C61" s="70" t="s">
        <v>31</v>
      </c>
      <c r="D61" s="63"/>
      <c r="E61" s="4"/>
      <c r="F61" s="5"/>
      <c r="G61" s="3"/>
      <c r="H61" s="4" t="s">
        <v>3</v>
      </c>
      <c r="I61" s="4"/>
      <c r="J61" s="4"/>
      <c r="K61" s="11"/>
      <c r="L61" s="84"/>
      <c r="M61" s="16"/>
      <c r="N61" s="84" t="s">
        <v>3</v>
      </c>
      <c r="O61" s="4" t="s">
        <v>3</v>
      </c>
      <c r="P61" s="16"/>
      <c r="Q61" s="14"/>
      <c r="R61" s="2"/>
      <c r="S61" s="2"/>
    </row>
    <row r="62" spans="2:19" ht="17.5">
      <c r="B62" s="173"/>
      <c r="C62" s="70" t="s">
        <v>54</v>
      </c>
      <c r="D62" s="63"/>
      <c r="E62" s="4" t="s">
        <v>3</v>
      </c>
      <c r="F62" s="5"/>
      <c r="G62" s="3"/>
      <c r="H62" s="4"/>
      <c r="I62" s="4"/>
      <c r="J62" s="4"/>
      <c r="K62" s="11"/>
      <c r="L62" s="84"/>
      <c r="M62" s="16"/>
      <c r="N62" s="84"/>
      <c r="O62" s="2"/>
      <c r="P62" s="16"/>
      <c r="Q62" s="14"/>
      <c r="R62" s="2"/>
      <c r="S62" s="2"/>
    </row>
    <row r="63" spans="2:19" ht="21.5" thickBot="1">
      <c r="B63" s="174"/>
      <c r="C63" s="71" t="s">
        <v>60</v>
      </c>
      <c r="D63" s="67"/>
      <c r="E63" s="9"/>
      <c r="F63" s="7" t="s">
        <v>3</v>
      </c>
      <c r="G63" s="8"/>
      <c r="H63" s="9"/>
      <c r="I63" s="9"/>
      <c r="J63" s="6" t="s">
        <v>3</v>
      </c>
      <c r="K63" s="12"/>
      <c r="L63" s="92"/>
      <c r="M63" s="18"/>
      <c r="N63" s="92"/>
      <c r="O63" s="17"/>
      <c r="P63" s="18"/>
      <c r="Q63" s="14"/>
      <c r="R63" s="2"/>
      <c r="S63" s="2"/>
    </row>
    <row r="64" spans="2:19">
      <c r="M64" s="10"/>
      <c r="N64" s="10"/>
      <c r="O64" s="10"/>
      <c r="P64" s="10"/>
      <c r="Q64" s="2"/>
      <c r="R64" s="2"/>
      <c r="S64" s="2"/>
    </row>
    <row r="65" spans="13:19">
      <c r="M65" s="2"/>
      <c r="N65" s="2"/>
      <c r="O65" s="2"/>
      <c r="P65" s="2"/>
      <c r="Q65" s="2"/>
      <c r="R65" s="2"/>
      <c r="S65" s="2"/>
    </row>
    <row r="66" spans="13:19">
      <c r="M66" s="2"/>
      <c r="N66" s="2"/>
      <c r="O66" s="2"/>
      <c r="P66" s="2"/>
      <c r="Q66" s="2"/>
      <c r="R66" s="2"/>
      <c r="S66" s="2"/>
    </row>
    <row r="67" spans="13:19">
      <c r="M67" s="2"/>
      <c r="N67" s="2"/>
      <c r="O67" s="2"/>
      <c r="P67" s="2"/>
      <c r="Q67" s="2"/>
      <c r="R67" s="2"/>
      <c r="S67" s="2"/>
    </row>
    <row r="68" spans="13:19">
      <c r="M68" s="2"/>
      <c r="N68" s="2"/>
      <c r="O68" s="2"/>
      <c r="P68" s="2"/>
      <c r="Q68" s="2"/>
      <c r="R68" s="2"/>
      <c r="S68" s="2"/>
    </row>
    <row r="69" spans="13:19">
      <c r="M69" s="2"/>
      <c r="N69" s="2"/>
      <c r="O69" s="2"/>
      <c r="P69" s="2"/>
      <c r="Q69" s="2"/>
      <c r="R69" s="2"/>
      <c r="S69" s="2"/>
    </row>
    <row r="70" spans="13:19">
      <c r="M70" s="2"/>
      <c r="N70" s="2"/>
      <c r="O70" s="2"/>
      <c r="P70" s="2"/>
      <c r="Q70" s="2"/>
      <c r="R70" s="2"/>
      <c r="S70" s="2"/>
    </row>
    <row r="71" spans="13:19">
      <c r="M71" s="2"/>
      <c r="N71" s="2"/>
      <c r="O71" s="2"/>
      <c r="P71" s="2"/>
      <c r="Q71" s="2"/>
      <c r="R71" s="2"/>
      <c r="S71" s="2"/>
    </row>
    <row r="72" spans="13:19">
      <c r="M72" s="2"/>
      <c r="N72" s="2"/>
      <c r="O72" s="2"/>
      <c r="P72" s="2"/>
      <c r="Q72" s="2"/>
      <c r="R72" s="2"/>
      <c r="S72" s="2"/>
    </row>
    <row r="73" spans="13:19">
      <c r="M73" s="2"/>
      <c r="N73" s="2"/>
      <c r="O73" s="2"/>
      <c r="P73" s="2"/>
      <c r="Q73" s="2"/>
      <c r="R73" s="2"/>
      <c r="S73" s="2"/>
    </row>
    <row r="74" spans="13:19">
      <c r="M74" s="2"/>
      <c r="N74" s="2"/>
      <c r="O74" s="2"/>
      <c r="P74" s="2"/>
      <c r="Q74" s="2"/>
      <c r="R74" s="2"/>
      <c r="S74" s="2"/>
    </row>
    <row r="75" spans="13:19">
      <c r="M75" s="2"/>
      <c r="N75" s="2"/>
      <c r="O75" s="2"/>
      <c r="P75" s="2"/>
      <c r="Q75" s="2"/>
      <c r="R75" s="2"/>
      <c r="S75" s="2"/>
    </row>
    <row r="76" spans="13:19">
      <c r="M76" s="2"/>
      <c r="N76" s="2"/>
      <c r="O76" s="2"/>
      <c r="P76" s="2"/>
      <c r="Q76" s="2"/>
      <c r="R76" s="2"/>
      <c r="S76" s="2"/>
    </row>
    <row r="77" spans="13:19">
      <c r="M77" s="2"/>
      <c r="N77" s="2"/>
      <c r="O77" s="2"/>
      <c r="P77" s="2"/>
      <c r="Q77" s="2"/>
      <c r="R77" s="2"/>
      <c r="S77" s="2"/>
    </row>
    <row r="78" spans="13:19">
      <c r="M78" s="2"/>
      <c r="N78" s="2"/>
      <c r="O78" s="2"/>
      <c r="P78" s="2"/>
      <c r="Q78" s="2"/>
      <c r="R78" s="2"/>
      <c r="S78" s="2"/>
    </row>
    <row r="79" spans="13:19">
      <c r="M79" s="2"/>
      <c r="N79" s="2"/>
      <c r="O79" s="2"/>
      <c r="P79" s="2"/>
      <c r="Q79" s="2"/>
      <c r="R79" s="2"/>
      <c r="S79" s="2"/>
    </row>
    <row r="80" spans="13:19">
      <c r="M80" s="2"/>
      <c r="N80" s="2"/>
      <c r="O80" s="2"/>
      <c r="P80" s="2"/>
      <c r="Q80" s="2"/>
      <c r="R80" s="2"/>
      <c r="S80" s="2"/>
    </row>
    <row r="81" spans="13:19">
      <c r="M81" s="2"/>
      <c r="N81" s="2"/>
      <c r="O81" s="2"/>
      <c r="P81" s="2"/>
      <c r="Q81" s="2"/>
      <c r="R81" s="2"/>
      <c r="S81" s="2"/>
    </row>
    <row r="82" spans="13:19">
      <c r="M82" s="2"/>
      <c r="N82" s="2"/>
      <c r="O82" s="2"/>
      <c r="P82" s="2"/>
      <c r="Q82" s="2"/>
      <c r="R82" s="2"/>
      <c r="S82" s="2"/>
    </row>
    <row r="83" spans="13:19">
      <c r="M83" s="2"/>
      <c r="N83" s="2"/>
      <c r="O83" s="2"/>
      <c r="P83" s="2"/>
      <c r="Q83" s="2"/>
      <c r="R83" s="2"/>
      <c r="S83" s="2"/>
    </row>
    <row r="84" spans="13:19">
      <c r="M84" s="2"/>
      <c r="N84" s="2"/>
      <c r="O84" s="2"/>
      <c r="P84" s="2"/>
      <c r="Q84" s="2"/>
      <c r="R84" s="2"/>
      <c r="S84" s="2"/>
    </row>
    <row r="85" spans="13:19">
      <c r="M85" s="2"/>
      <c r="N85" s="2"/>
      <c r="O85" s="2"/>
      <c r="P85" s="2"/>
      <c r="Q85" s="2"/>
      <c r="R85" s="2"/>
      <c r="S85" s="2"/>
    </row>
    <row r="86" spans="13:19">
      <c r="M86" s="2"/>
      <c r="N86" s="2"/>
      <c r="O86" s="2"/>
      <c r="P86" s="2"/>
      <c r="Q86" s="2"/>
      <c r="R86" s="2"/>
      <c r="S86" s="2"/>
    </row>
    <row r="87" spans="13:19">
      <c r="M87" s="2"/>
      <c r="N87" s="2"/>
      <c r="O87" s="2"/>
      <c r="P87" s="2"/>
      <c r="Q87" s="2"/>
      <c r="R87" s="2"/>
      <c r="S87" s="2"/>
    </row>
    <row r="88" spans="13:19">
      <c r="M88" s="2"/>
      <c r="N88" s="2"/>
      <c r="O88" s="2"/>
      <c r="P88" s="2"/>
      <c r="Q88" s="2"/>
      <c r="R88" s="2"/>
      <c r="S88" s="2"/>
    </row>
    <row r="89" spans="13:19">
      <c r="M89" s="2"/>
      <c r="N89" s="2"/>
      <c r="O89" s="2"/>
      <c r="P89" s="2"/>
      <c r="Q89" s="2"/>
      <c r="R89" s="2"/>
      <c r="S89" s="2"/>
    </row>
    <row r="90" spans="13:19">
      <c r="M90" s="2"/>
      <c r="N90" s="2"/>
      <c r="O90" s="2"/>
      <c r="P90" s="2"/>
      <c r="Q90" s="2"/>
      <c r="R90" s="2"/>
      <c r="S90" s="2"/>
    </row>
    <row r="91" spans="13:19">
      <c r="M91" s="2"/>
      <c r="N91" s="2"/>
      <c r="O91" s="2"/>
      <c r="P91" s="2"/>
      <c r="Q91" s="2"/>
      <c r="R91" s="2"/>
      <c r="S91" s="2"/>
    </row>
    <row r="92" spans="13:19">
      <c r="M92" s="2"/>
      <c r="N92" s="2"/>
      <c r="O92" s="2"/>
      <c r="P92" s="2"/>
      <c r="Q92" s="2"/>
      <c r="R92" s="2"/>
      <c r="S92" s="2"/>
    </row>
    <row r="93" spans="13:19">
      <c r="M93" s="2"/>
      <c r="N93" s="2"/>
      <c r="O93" s="2"/>
      <c r="P93" s="2"/>
      <c r="Q93" s="2"/>
      <c r="R93" s="2"/>
      <c r="S93" s="2"/>
    </row>
    <row r="94" spans="13:19">
      <c r="M94" s="2"/>
      <c r="N94" s="2"/>
      <c r="O94" s="2"/>
      <c r="P94" s="2"/>
      <c r="Q94" s="2"/>
      <c r="R94" s="2"/>
      <c r="S94" s="2"/>
    </row>
    <row r="95" spans="13:19">
      <c r="M95" s="2"/>
      <c r="N95" s="2"/>
      <c r="O95" s="2"/>
      <c r="P95" s="2"/>
      <c r="Q95" s="2"/>
      <c r="R95" s="2"/>
      <c r="S95" s="2"/>
    </row>
    <row r="96" spans="13:19">
      <c r="M96" s="2"/>
      <c r="N96" s="2"/>
      <c r="O96" s="2"/>
      <c r="P96" s="2"/>
      <c r="Q96" s="2"/>
      <c r="R96" s="2"/>
      <c r="S96" s="2"/>
    </row>
    <row r="97" spans="13:19">
      <c r="M97" s="2"/>
      <c r="N97" s="2"/>
      <c r="O97" s="2"/>
      <c r="P97" s="2"/>
      <c r="Q97" s="2"/>
      <c r="R97" s="2"/>
      <c r="S97" s="2"/>
    </row>
    <row r="98" spans="13:19">
      <c r="M98" s="2"/>
      <c r="N98" s="2"/>
      <c r="O98" s="2"/>
      <c r="P98" s="2"/>
      <c r="Q98" s="2"/>
      <c r="R98" s="2"/>
      <c r="S98" s="2"/>
    </row>
    <row r="99" spans="13:19">
      <c r="M99" s="2"/>
      <c r="N99" s="2"/>
      <c r="O99" s="2"/>
      <c r="P99" s="2"/>
      <c r="Q99" s="2"/>
      <c r="R99" s="2"/>
      <c r="S99" s="2"/>
    </row>
    <row r="100" spans="13:19">
      <c r="M100" s="2"/>
      <c r="N100" s="2"/>
      <c r="O100" s="2"/>
      <c r="P100" s="2"/>
      <c r="Q100" s="2"/>
      <c r="R100" s="2"/>
      <c r="S100" s="2"/>
    </row>
    <row r="101" spans="13:19">
      <c r="M101" s="2"/>
      <c r="N101" s="2"/>
      <c r="O101" s="2"/>
      <c r="P101" s="2"/>
      <c r="Q101" s="2"/>
      <c r="R101" s="2"/>
      <c r="S101" s="2"/>
    </row>
    <row r="102" spans="13:19">
      <c r="M102" s="2"/>
      <c r="N102" s="2"/>
      <c r="O102" s="2"/>
      <c r="P102" s="2"/>
      <c r="Q102" s="2"/>
      <c r="R102" s="2"/>
      <c r="S102" s="2"/>
    </row>
    <row r="103" spans="13:19">
      <c r="M103" s="2"/>
      <c r="N103" s="2"/>
      <c r="O103" s="2"/>
      <c r="P103" s="2"/>
      <c r="Q103" s="2"/>
      <c r="R103" s="2"/>
      <c r="S103" s="2"/>
    </row>
    <row r="104" spans="13:19">
      <c r="M104" s="2"/>
      <c r="N104" s="2"/>
      <c r="O104" s="2"/>
      <c r="P104" s="2"/>
      <c r="Q104" s="2"/>
      <c r="R104" s="2"/>
      <c r="S104" s="2"/>
    </row>
    <row r="105" spans="13:19">
      <c r="M105" s="2"/>
      <c r="N105" s="2"/>
      <c r="O105" s="2"/>
      <c r="P105" s="2"/>
      <c r="Q105" s="2"/>
      <c r="R105" s="2"/>
      <c r="S105" s="2"/>
    </row>
    <row r="106" spans="13:19">
      <c r="M106" s="2"/>
      <c r="N106" s="2"/>
      <c r="O106" s="2"/>
      <c r="P106" s="2"/>
      <c r="Q106" s="2"/>
      <c r="R106" s="2"/>
      <c r="S106" s="2"/>
    </row>
    <row r="107" spans="13:19">
      <c r="M107" s="2"/>
      <c r="N107" s="2"/>
      <c r="O107" s="2"/>
      <c r="P107" s="2"/>
      <c r="Q107" s="2"/>
      <c r="R107" s="2"/>
      <c r="S107" s="2"/>
    </row>
    <row r="108" spans="13:19">
      <c r="M108" s="2"/>
      <c r="N108" s="2"/>
      <c r="O108" s="2"/>
      <c r="P108" s="2"/>
      <c r="Q108" s="2"/>
      <c r="R108" s="2"/>
      <c r="S108" s="2"/>
    </row>
    <row r="109" spans="13:19">
      <c r="M109" s="2"/>
      <c r="N109" s="2"/>
      <c r="O109" s="2"/>
      <c r="P109" s="2"/>
      <c r="Q109" s="2"/>
      <c r="R109" s="2"/>
      <c r="S109" s="2"/>
    </row>
    <row r="110" spans="13:19">
      <c r="M110" s="2"/>
      <c r="N110" s="2"/>
      <c r="O110" s="2"/>
      <c r="P110" s="2"/>
      <c r="Q110" s="2"/>
      <c r="R110" s="2"/>
      <c r="S110" s="2"/>
    </row>
    <row r="111" spans="13:19">
      <c r="M111" s="2"/>
      <c r="N111" s="2"/>
      <c r="O111" s="2"/>
      <c r="P111" s="2"/>
      <c r="Q111" s="2"/>
      <c r="R111" s="2"/>
      <c r="S111" s="2"/>
    </row>
    <row r="112" spans="13:19">
      <c r="M112" s="2"/>
      <c r="N112" s="2"/>
      <c r="O112" s="2"/>
      <c r="P112" s="2"/>
      <c r="Q112" s="2"/>
      <c r="R112" s="2"/>
      <c r="S112" s="2"/>
    </row>
    <row r="113" spans="13:19">
      <c r="M113" s="2"/>
      <c r="N113" s="2"/>
      <c r="O113" s="2"/>
      <c r="P113" s="2"/>
      <c r="Q113" s="2"/>
      <c r="R113" s="2"/>
      <c r="S113" s="2"/>
    </row>
    <row r="114" spans="13:19">
      <c r="M114" s="2"/>
      <c r="N114" s="2"/>
      <c r="O114" s="2"/>
      <c r="P114" s="2"/>
      <c r="Q114" s="2"/>
      <c r="R114" s="2"/>
      <c r="S114" s="2"/>
    </row>
    <row r="115" spans="13:19">
      <c r="M115" s="2"/>
      <c r="N115" s="2"/>
      <c r="O115" s="2"/>
      <c r="P115" s="2"/>
      <c r="Q115" s="2"/>
      <c r="R115" s="2"/>
      <c r="S115" s="2"/>
    </row>
    <row r="116" spans="13:19">
      <c r="M116" s="2"/>
      <c r="N116" s="2"/>
      <c r="O116" s="2"/>
      <c r="P116" s="2"/>
      <c r="Q116" s="2"/>
      <c r="R116" s="2"/>
      <c r="S116" s="2"/>
    </row>
    <row r="117" spans="13:19">
      <c r="M117" s="2"/>
      <c r="N117" s="2"/>
      <c r="O117" s="2"/>
      <c r="P117" s="2"/>
      <c r="Q117" s="2"/>
      <c r="R117" s="2"/>
      <c r="S117" s="2"/>
    </row>
    <row r="118" spans="13:19">
      <c r="M118" s="2"/>
      <c r="N118" s="2"/>
      <c r="O118" s="2"/>
      <c r="P118" s="2"/>
      <c r="Q118" s="2"/>
      <c r="R118" s="2"/>
      <c r="S118" s="2"/>
    </row>
    <row r="119" spans="13:19">
      <c r="M119" s="2"/>
      <c r="N119" s="2"/>
      <c r="O119" s="2"/>
      <c r="P119" s="2"/>
      <c r="Q119" s="2"/>
      <c r="R119" s="2"/>
      <c r="S119" s="2"/>
    </row>
    <row r="120" spans="13:19">
      <c r="M120" s="2"/>
      <c r="N120" s="2"/>
      <c r="O120" s="2"/>
      <c r="P120" s="2"/>
      <c r="Q120" s="2"/>
      <c r="R120" s="2"/>
      <c r="S120" s="2"/>
    </row>
    <row r="121" spans="13:19">
      <c r="M121" s="2"/>
      <c r="N121" s="2"/>
      <c r="O121" s="2"/>
      <c r="P121" s="2"/>
      <c r="Q121" s="2"/>
      <c r="R121" s="2"/>
      <c r="S121" s="2"/>
    </row>
    <row r="122" spans="13:19">
      <c r="M122" s="2"/>
      <c r="N122" s="2"/>
      <c r="O122" s="2"/>
      <c r="P122" s="2"/>
      <c r="Q122" s="2"/>
      <c r="R122" s="2"/>
      <c r="S122" s="2"/>
    </row>
    <row r="123" spans="13:19">
      <c r="M123" s="2"/>
      <c r="N123" s="2"/>
      <c r="O123" s="2"/>
      <c r="P123" s="2"/>
      <c r="Q123" s="2"/>
      <c r="R123" s="2"/>
      <c r="S123" s="2"/>
    </row>
    <row r="124" spans="13:19">
      <c r="M124" s="2"/>
      <c r="N124" s="2"/>
      <c r="O124" s="2"/>
      <c r="P124" s="2"/>
      <c r="Q124" s="2"/>
      <c r="R124" s="2"/>
      <c r="S124" s="2"/>
    </row>
    <row r="125" spans="13:19">
      <c r="M125" s="2"/>
      <c r="N125" s="2"/>
      <c r="O125" s="2"/>
      <c r="P125" s="2"/>
      <c r="Q125" s="2"/>
      <c r="R125" s="2"/>
      <c r="S125" s="2"/>
    </row>
    <row r="126" spans="13:19">
      <c r="M126" s="2"/>
      <c r="N126" s="2"/>
      <c r="O126" s="2"/>
      <c r="P126" s="2"/>
      <c r="Q126" s="2"/>
      <c r="R126" s="2"/>
      <c r="S126" s="2"/>
    </row>
    <row r="127" spans="13:19">
      <c r="M127" s="2"/>
      <c r="N127" s="2"/>
      <c r="O127" s="2"/>
      <c r="P127" s="2"/>
      <c r="Q127" s="2"/>
      <c r="R127" s="2"/>
      <c r="S127" s="2"/>
    </row>
    <row r="128" spans="13:19">
      <c r="M128" s="2"/>
      <c r="N128" s="2"/>
      <c r="O128" s="2"/>
      <c r="P128" s="2"/>
      <c r="Q128" s="2"/>
      <c r="R128" s="2"/>
      <c r="S128" s="2"/>
    </row>
    <row r="129" spans="13:19">
      <c r="M129" s="2"/>
      <c r="N129" s="2"/>
      <c r="O129" s="2"/>
      <c r="P129" s="2"/>
      <c r="Q129" s="2"/>
      <c r="R129" s="2"/>
      <c r="S129" s="2"/>
    </row>
    <row r="130" spans="13:19">
      <c r="M130" s="2"/>
      <c r="N130" s="2"/>
      <c r="O130" s="2"/>
      <c r="P130" s="2"/>
      <c r="Q130" s="2"/>
      <c r="R130" s="2"/>
      <c r="S130" s="2"/>
    </row>
    <row r="131" spans="13:19">
      <c r="M131" s="2"/>
      <c r="N131" s="2"/>
      <c r="O131" s="2"/>
      <c r="P131" s="2"/>
      <c r="Q131" s="2"/>
      <c r="R131" s="2"/>
      <c r="S131" s="2"/>
    </row>
    <row r="132" spans="13:19">
      <c r="M132" s="2"/>
      <c r="N132" s="2"/>
      <c r="O132" s="2"/>
      <c r="P132" s="2"/>
      <c r="Q132" s="2"/>
      <c r="R132" s="2"/>
      <c r="S132" s="2"/>
    </row>
    <row r="133" spans="13:19">
      <c r="M133" s="2"/>
      <c r="N133" s="2"/>
      <c r="O133" s="2"/>
      <c r="P133" s="2"/>
      <c r="Q133" s="2"/>
      <c r="R133" s="2"/>
      <c r="S133" s="2"/>
    </row>
    <row r="134" spans="13:19">
      <c r="M134" s="2"/>
      <c r="N134" s="2"/>
      <c r="O134" s="2"/>
      <c r="P134" s="2"/>
      <c r="Q134" s="2"/>
      <c r="R134" s="2"/>
      <c r="S134" s="2"/>
    </row>
    <row r="135" spans="13:19">
      <c r="M135" s="2"/>
      <c r="N135" s="2"/>
      <c r="O135" s="2"/>
      <c r="P135" s="2"/>
      <c r="Q135" s="2"/>
      <c r="R135" s="2"/>
      <c r="S135" s="2"/>
    </row>
    <row r="136" spans="13:19">
      <c r="M136" s="2"/>
      <c r="N136" s="2"/>
      <c r="O136" s="2"/>
      <c r="P136" s="2"/>
      <c r="Q136" s="2"/>
      <c r="R136" s="2"/>
      <c r="S136" s="2"/>
    </row>
    <row r="137" spans="13:19">
      <c r="M137" s="2"/>
      <c r="N137" s="2"/>
      <c r="O137" s="2"/>
      <c r="P137" s="2"/>
      <c r="Q137" s="2"/>
      <c r="R137" s="2"/>
      <c r="S137" s="2"/>
    </row>
    <row r="138" spans="13:19">
      <c r="M138" s="2"/>
      <c r="N138" s="2"/>
      <c r="O138" s="2"/>
      <c r="P138" s="2"/>
      <c r="Q138" s="2"/>
      <c r="R138" s="2"/>
      <c r="S138" s="2"/>
    </row>
    <row r="139" spans="13:19">
      <c r="M139" s="2"/>
      <c r="N139" s="2"/>
      <c r="O139" s="2"/>
      <c r="P139" s="2"/>
      <c r="Q139" s="2"/>
      <c r="R139" s="2"/>
      <c r="S139" s="2"/>
    </row>
    <row r="140" spans="13:19">
      <c r="M140" s="2"/>
      <c r="N140" s="2"/>
      <c r="O140" s="2"/>
      <c r="P140" s="2"/>
      <c r="Q140" s="2"/>
      <c r="R140" s="2"/>
      <c r="S140" s="2"/>
    </row>
    <row r="141" spans="13:19">
      <c r="M141" s="2"/>
      <c r="N141" s="2"/>
      <c r="O141" s="2"/>
      <c r="P141" s="2"/>
      <c r="Q141" s="2"/>
      <c r="R141" s="2"/>
      <c r="S141" s="2"/>
    </row>
    <row r="142" spans="13:19">
      <c r="M142" s="2"/>
      <c r="N142" s="2"/>
      <c r="O142" s="2"/>
      <c r="P142" s="2"/>
      <c r="Q142" s="2"/>
      <c r="R142" s="2"/>
      <c r="S142" s="2"/>
    </row>
    <row r="143" spans="13:19">
      <c r="M143" s="2"/>
      <c r="N143" s="2"/>
      <c r="O143" s="2"/>
      <c r="P143" s="2"/>
      <c r="Q143" s="2"/>
      <c r="R143" s="2"/>
      <c r="S143" s="2"/>
    </row>
    <row r="144" spans="13:19">
      <c r="M144" s="2"/>
      <c r="N144" s="2"/>
      <c r="O144" s="2"/>
      <c r="P144" s="2"/>
      <c r="Q144" s="2"/>
      <c r="R144" s="2"/>
      <c r="S144" s="2"/>
    </row>
    <row r="145" spans="13:19">
      <c r="M145" s="2"/>
      <c r="N145" s="2"/>
      <c r="O145" s="2"/>
      <c r="P145" s="2"/>
      <c r="Q145" s="2"/>
      <c r="R145" s="2"/>
      <c r="S145" s="2"/>
    </row>
    <row r="146" spans="13:19">
      <c r="M146" s="2"/>
      <c r="N146" s="2"/>
      <c r="O146" s="2"/>
      <c r="P146" s="2"/>
      <c r="Q146" s="2"/>
      <c r="R146" s="2"/>
      <c r="S146" s="2"/>
    </row>
    <row r="147" spans="13:19">
      <c r="M147" s="2"/>
      <c r="N147" s="2"/>
      <c r="O147" s="2"/>
      <c r="P147" s="2"/>
      <c r="Q147" s="2"/>
      <c r="R147" s="2"/>
      <c r="S147" s="2"/>
    </row>
    <row r="148" spans="13:19">
      <c r="M148" s="2"/>
      <c r="N148" s="2"/>
      <c r="O148" s="2"/>
      <c r="P148" s="2"/>
      <c r="Q148" s="2"/>
      <c r="R148" s="2"/>
      <c r="S148" s="2"/>
    </row>
    <row r="149" spans="13:19">
      <c r="M149" s="2"/>
      <c r="N149" s="2"/>
      <c r="O149" s="2"/>
      <c r="P149" s="2"/>
      <c r="Q149" s="2"/>
      <c r="R149" s="2"/>
      <c r="S149" s="2"/>
    </row>
    <row r="150" spans="13:19">
      <c r="M150" s="2"/>
      <c r="N150" s="2"/>
      <c r="O150" s="2"/>
      <c r="P150" s="2"/>
      <c r="Q150" s="2"/>
      <c r="R150" s="2"/>
      <c r="S150" s="2"/>
    </row>
    <row r="151" spans="13:19">
      <c r="M151" s="2"/>
      <c r="N151" s="2"/>
      <c r="O151" s="2"/>
      <c r="P151" s="2"/>
      <c r="Q151" s="2"/>
      <c r="R151" s="2"/>
      <c r="S151" s="2"/>
    </row>
    <row r="152" spans="13:19">
      <c r="M152" s="2"/>
      <c r="N152" s="2"/>
      <c r="O152" s="2"/>
      <c r="P152" s="2"/>
      <c r="Q152" s="2"/>
      <c r="R152" s="2"/>
      <c r="S152" s="2"/>
    </row>
    <row r="153" spans="13:19">
      <c r="M153" s="2"/>
      <c r="N153" s="2"/>
      <c r="O153" s="2"/>
      <c r="P153" s="2"/>
      <c r="Q153" s="2"/>
      <c r="R153" s="2"/>
      <c r="S153" s="2"/>
    </row>
    <row r="154" spans="13:19">
      <c r="M154" s="2"/>
      <c r="N154" s="2"/>
      <c r="O154" s="2"/>
      <c r="P154" s="2"/>
      <c r="Q154" s="2"/>
      <c r="R154" s="2"/>
      <c r="S154" s="2"/>
    </row>
    <row r="155" spans="13:19">
      <c r="M155" s="2"/>
      <c r="N155" s="2"/>
      <c r="O155" s="2"/>
      <c r="P155" s="2"/>
      <c r="Q155" s="2"/>
      <c r="R155" s="2"/>
      <c r="S155" s="2"/>
    </row>
    <row r="156" spans="13:19">
      <c r="M156" s="2"/>
      <c r="N156" s="2"/>
      <c r="O156" s="2"/>
      <c r="P156" s="2"/>
      <c r="Q156" s="2"/>
      <c r="R156" s="2"/>
      <c r="S156" s="2"/>
    </row>
    <row r="157" spans="13:19">
      <c r="M157" s="2"/>
      <c r="N157" s="2"/>
      <c r="O157" s="2"/>
      <c r="P157" s="2"/>
      <c r="Q157" s="2"/>
      <c r="R157" s="2"/>
      <c r="S157" s="2"/>
    </row>
    <row r="158" spans="13:19">
      <c r="M158" s="2"/>
      <c r="N158" s="2"/>
      <c r="O158" s="2"/>
      <c r="P158" s="2"/>
      <c r="Q158" s="2"/>
      <c r="R158" s="2"/>
      <c r="S158" s="2"/>
    </row>
    <row r="159" spans="13:19">
      <c r="M159" s="2"/>
      <c r="N159" s="2"/>
      <c r="O159" s="2"/>
      <c r="P159" s="2"/>
      <c r="Q159" s="2"/>
      <c r="R159" s="2"/>
      <c r="S159" s="2"/>
    </row>
    <row r="160" spans="13:19">
      <c r="M160" s="2"/>
      <c r="N160" s="2"/>
      <c r="O160" s="2"/>
      <c r="P160" s="2"/>
      <c r="Q160" s="2"/>
      <c r="R160" s="2"/>
      <c r="S160" s="2"/>
    </row>
    <row r="161" spans="13:19">
      <c r="M161" s="2"/>
      <c r="N161" s="2"/>
      <c r="O161" s="2"/>
      <c r="P161" s="2"/>
      <c r="Q161" s="2"/>
      <c r="R161" s="2"/>
      <c r="S161" s="2"/>
    </row>
    <row r="162" spans="13:19">
      <c r="M162" s="2"/>
      <c r="N162" s="2"/>
      <c r="O162" s="2"/>
      <c r="P162" s="2"/>
      <c r="Q162" s="2"/>
      <c r="R162" s="2"/>
      <c r="S162" s="2"/>
    </row>
    <row r="163" spans="13:19">
      <c r="M163" s="2"/>
      <c r="N163" s="2"/>
      <c r="O163" s="2"/>
      <c r="P163" s="2"/>
      <c r="Q163" s="2"/>
      <c r="R163" s="2"/>
      <c r="S163" s="2"/>
    </row>
    <row r="164" spans="13:19">
      <c r="M164" s="2"/>
      <c r="N164" s="2"/>
      <c r="O164" s="2"/>
      <c r="P164" s="2"/>
      <c r="Q164" s="2"/>
      <c r="R164" s="2"/>
      <c r="S164" s="2"/>
    </row>
    <row r="165" spans="13:19">
      <c r="M165" s="2"/>
      <c r="N165" s="2"/>
      <c r="O165" s="2"/>
      <c r="P165" s="2"/>
      <c r="Q165" s="2"/>
      <c r="R165" s="2"/>
      <c r="S165" s="2"/>
    </row>
    <row r="166" spans="13:19">
      <c r="M166" s="2"/>
      <c r="N166" s="2"/>
      <c r="O166" s="2"/>
      <c r="P166" s="2"/>
      <c r="Q166" s="2"/>
      <c r="R166" s="2"/>
      <c r="S166" s="2"/>
    </row>
    <row r="167" spans="13:19">
      <c r="M167" s="2"/>
      <c r="N167" s="2"/>
      <c r="O167" s="2"/>
      <c r="P167" s="2"/>
      <c r="Q167" s="2"/>
      <c r="R167" s="2"/>
      <c r="S167" s="2"/>
    </row>
    <row r="168" spans="13:19">
      <c r="M168" s="2"/>
      <c r="N168" s="2"/>
      <c r="O168" s="2"/>
      <c r="P168" s="2"/>
      <c r="Q168" s="2"/>
      <c r="R168" s="2"/>
      <c r="S168" s="2"/>
    </row>
    <row r="169" spans="13:19">
      <c r="M169" s="2"/>
      <c r="N169" s="2"/>
      <c r="O169" s="2"/>
      <c r="P169" s="2"/>
      <c r="Q169" s="2"/>
      <c r="R169" s="2"/>
      <c r="S169" s="2"/>
    </row>
    <row r="170" spans="13:19">
      <c r="M170" s="2"/>
      <c r="N170" s="2"/>
      <c r="O170" s="2"/>
      <c r="P170" s="2"/>
      <c r="Q170" s="2"/>
      <c r="R170" s="2"/>
      <c r="S170" s="2"/>
    </row>
    <row r="171" spans="13:19">
      <c r="M171" s="2"/>
      <c r="N171" s="2"/>
      <c r="O171" s="2"/>
      <c r="P171" s="2"/>
      <c r="Q171" s="2"/>
      <c r="R171" s="2"/>
      <c r="S171" s="2"/>
    </row>
    <row r="172" spans="13:19">
      <c r="M172" s="2"/>
      <c r="N172" s="2"/>
      <c r="O172" s="2"/>
      <c r="P172" s="2"/>
      <c r="Q172" s="2"/>
      <c r="R172" s="2"/>
      <c r="S172" s="2"/>
    </row>
    <row r="173" spans="13:19">
      <c r="M173" s="2"/>
      <c r="N173" s="2"/>
      <c r="O173" s="2"/>
      <c r="P173" s="2"/>
      <c r="Q173" s="2"/>
      <c r="R173" s="2"/>
      <c r="S173" s="2"/>
    </row>
    <row r="174" spans="13:19">
      <c r="M174" s="2"/>
      <c r="N174" s="2"/>
      <c r="O174" s="2"/>
      <c r="P174" s="2"/>
      <c r="Q174" s="2"/>
      <c r="R174" s="2"/>
      <c r="S174" s="2"/>
    </row>
    <row r="175" spans="13:19">
      <c r="M175" s="2"/>
      <c r="N175" s="2"/>
      <c r="O175" s="2"/>
      <c r="P175" s="2"/>
      <c r="Q175" s="2"/>
      <c r="R175" s="2"/>
      <c r="S175" s="2"/>
    </row>
    <row r="176" spans="13:19">
      <c r="M176" s="2"/>
      <c r="N176" s="2"/>
      <c r="O176" s="2"/>
      <c r="P176" s="2"/>
      <c r="Q176" s="2"/>
      <c r="R176" s="2"/>
      <c r="S176" s="2"/>
    </row>
    <row r="177" spans="13:19">
      <c r="M177" s="2"/>
      <c r="N177" s="2"/>
      <c r="O177" s="2"/>
      <c r="P177" s="2"/>
      <c r="Q177" s="2"/>
      <c r="R177" s="2"/>
      <c r="S177" s="2"/>
    </row>
    <row r="178" spans="13:19">
      <c r="M178" s="2"/>
      <c r="N178" s="2"/>
      <c r="O178" s="2"/>
      <c r="P178" s="2"/>
      <c r="Q178" s="2"/>
      <c r="R178" s="2"/>
      <c r="S178" s="2"/>
    </row>
    <row r="179" spans="13:19">
      <c r="M179" s="2"/>
      <c r="N179" s="2"/>
      <c r="O179" s="2"/>
      <c r="P179" s="2"/>
      <c r="Q179" s="2"/>
      <c r="R179" s="2"/>
      <c r="S179" s="2"/>
    </row>
    <row r="180" spans="13:19">
      <c r="M180" s="2"/>
      <c r="N180" s="2"/>
      <c r="O180" s="2"/>
      <c r="P180" s="2"/>
      <c r="Q180" s="2"/>
      <c r="R180" s="2"/>
      <c r="S180" s="2"/>
    </row>
    <row r="181" spans="13:19">
      <c r="M181" s="2"/>
      <c r="N181" s="2"/>
      <c r="O181" s="2"/>
      <c r="P181" s="2"/>
      <c r="Q181" s="2"/>
      <c r="R181" s="2"/>
      <c r="S181" s="2"/>
    </row>
    <row r="182" spans="13:19">
      <c r="M182" s="2"/>
      <c r="N182" s="2"/>
      <c r="O182" s="2"/>
      <c r="P182" s="2"/>
      <c r="Q182" s="2"/>
      <c r="R182" s="2"/>
      <c r="S182" s="2"/>
    </row>
    <row r="183" spans="13:19">
      <c r="M183" s="2"/>
      <c r="N183" s="2"/>
      <c r="O183" s="2"/>
      <c r="P183" s="2"/>
      <c r="Q183" s="2"/>
      <c r="R183" s="2"/>
      <c r="S183" s="2"/>
    </row>
    <row r="184" spans="13:19">
      <c r="M184" s="2"/>
      <c r="N184" s="2"/>
      <c r="O184" s="2"/>
      <c r="P184" s="2"/>
      <c r="Q184" s="2"/>
      <c r="R184" s="2"/>
      <c r="S184" s="2"/>
    </row>
    <row r="185" spans="13:19">
      <c r="M185" s="2"/>
      <c r="N185" s="2"/>
      <c r="O185" s="2"/>
      <c r="P185" s="2"/>
      <c r="Q185" s="2"/>
      <c r="R185" s="2"/>
      <c r="S185" s="2"/>
    </row>
    <row r="186" spans="13:19">
      <c r="M186" s="2"/>
      <c r="N186" s="2"/>
      <c r="O186" s="2"/>
      <c r="P186" s="2"/>
      <c r="Q186" s="2"/>
      <c r="R186" s="2"/>
      <c r="S186" s="2"/>
    </row>
    <row r="187" spans="13:19">
      <c r="M187" s="2"/>
      <c r="N187" s="2"/>
      <c r="O187" s="2"/>
      <c r="P187" s="2"/>
      <c r="Q187" s="2"/>
      <c r="R187" s="2"/>
      <c r="S187" s="2"/>
    </row>
    <row r="188" spans="13:19">
      <c r="M188" s="2"/>
      <c r="N188" s="2"/>
      <c r="O188" s="2"/>
      <c r="P188" s="2"/>
      <c r="Q188" s="2"/>
      <c r="R188" s="2"/>
      <c r="S188" s="2"/>
    </row>
  </sheetData>
  <mergeCells count="14">
    <mergeCell ref="B2:P2"/>
    <mergeCell ref="B3:P3"/>
    <mergeCell ref="B4:C4"/>
    <mergeCell ref="D4:F4"/>
    <mergeCell ref="G4:K4"/>
    <mergeCell ref="L4:M4"/>
    <mergeCell ref="N4:P4"/>
    <mergeCell ref="B58:B63"/>
    <mergeCell ref="B6:B17"/>
    <mergeCell ref="B18:B28"/>
    <mergeCell ref="B29:B47"/>
    <mergeCell ref="B48:B53"/>
    <mergeCell ref="B54:B55"/>
    <mergeCell ref="B56:B57"/>
  </mergeCells>
  <phoneticPr fontId="3" type="noConversion"/>
  <pageMargins left="0.7" right="0.7" top="0.75" bottom="0.75" header="0.3" footer="0.3"/>
  <pageSetup paperSize="9" scale="6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E863-BCFB-4E7F-B91D-78001F4E297F}">
  <dimension ref="C1:R26"/>
  <sheetViews>
    <sheetView tabSelected="1" topLeftCell="A11" zoomScaleNormal="100" workbookViewId="0">
      <pane xSplit="4" topLeftCell="E1" activePane="topRight" state="frozen"/>
      <selection pane="topRight" activeCell="G11" sqref="G11"/>
    </sheetView>
  </sheetViews>
  <sheetFormatPr defaultColWidth="8.83203125" defaultRowHeight="17"/>
  <cols>
    <col min="1" max="4" width="8.83203125" style="100"/>
    <col min="5" max="5" width="53.33203125" style="100" customWidth="1"/>
    <col min="6" max="6" width="43.33203125" style="100" customWidth="1"/>
    <col min="7" max="7" width="41.25" style="100" customWidth="1"/>
    <col min="8" max="8" width="46.83203125" style="100" customWidth="1"/>
    <col min="9" max="9" width="41.58203125" style="100" customWidth="1"/>
    <col min="10" max="10" width="39.33203125" style="100" customWidth="1"/>
    <col min="11" max="11" width="38.58203125" style="100" customWidth="1"/>
    <col min="12" max="17" width="20.5" style="100" customWidth="1"/>
    <col min="18" max="16384" width="8.83203125" style="100"/>
  </cols>
  <sheetData>
    <row r="1" spans="3:18" ht="17.5" thickBot="1"/>
    <row r="2" spans="3:18" ht="17.5" thickBot="1">
      <c r="C2" s="206" t="s">
        <v>127</v>
      </c>
      <c r="D2" s="207"/>
      <c r="E2" s="207"/>
      <c r="F2" s="207"/>
      <c r="G2" s="207"/>
      <c r="H2" s="207"/>
      <c r="I2" s="207"/>
      <c r="J2" s="207"/>
      <c r="K2" s="208"/>
    </row>
    <row r="3" spans="3:18" ht="17.5" thickBot="1"/>
    <row r="4" spans="3:18" ht="25" customHeight="1">
      <c r="C4" s="209" t="s">
        <v>74</v>
      </c>
      <c r="D4" s="210"/>
      <c r="E4" s="211"/>
      <c r="F4" s="212"/>
      <c r="G4" s="212"/>
      <c r="H4" s="212"/>
      <c r="I4" s="212"/>
      <c r="J4" s="212"/>
      <c r="K4" s="213"/>
      <c r="L4" s="214"/>
      <c r="M4" s="204"/>
      <c r="N4" s="204"/>
      <c r="O4" s="204"/>
      <c r="P4" s="204"/>
      <c r="Q4" s="204"/>
    </row>
    <row r="5" spans="3:18" ht="25" customHeight="1" thickBot="1">
      <c r="C5" s="102" t="s">
        <v>75</v>
      </c>
      <c r="D5" s="103" t="s">
        <v>76</v>
      </c>
      <c r="E5" s="128" t="s">
        <v>34</v>
      </c>
      <c r="F5" s="129" t="s">
        <v>84</v>
      </c>
      <c r="G5" s="129" t="s">
        <v>35</v>
      </c>
      <c r="H5" s="130" t="s">
        <v>38</v>
      </c>
      <c r="I5" s="104" t="s">
        <v>39</v>
      </c>
      <c r="J5" s="104" t="s">
        <v>87</v>
      </c>
      <c r="K5" s="105" t="s">
        <v>85</v>
      </c>
      <c r="P5" s="101"/>
      <c r="Q5" s="101"/>
      <c r="R5" s="101"/>
    </row>
    <row r="6" spans="3:18" ht="25" customHeight="1">
      <c r="C6" s="106"/>
      <c r="D6" s="107"/>
      <c r="E6" s="108" t="s">
        <v>79</v>
      </c>
      <c r="F6" s="109" t="s">
        <v>80</v>
      </c>
      <c r="G6" s="109" t="s">
        <v>81</v>
      </c>
      <c r="H6" s="109" t="s">
        <v>82</v>
      </c>
      <c r="I6" s="109" t="s">
        <v>83</v>
      </c>
      <c r="J6" s="109"/>
      <c r="K6" s="109" t="s">
        <v>86</v>
      </c>
    </row>
    <row r="7" spans="3:18" ht="409.5" customHeight="1">
      <c r="C7" s="110" t="s">
        <v>70</v>
      </c>
      <c r="D7" s="111" t="s">
        <v>77</v>
      </c>
      <c r="E7" s="112" t="s">
        <v>142</v>
      </c>
      <c r="F7" s="113" t="s">
        <v>143</v>
      </c>
      <c r="G7" s="120" t="s">
        <v>144</v>
      </c>
      <c r="H7" s="114" t="s">
        <v>145</v>
      </c>
      <c r="I7" s="115" t="s">
        <v>128</v>
      </c>
      <c r="J7" s="115" t="s">
        <v>129</v>
      </c>
      <c r="K7" s="115" t="s">
        <v>130</v>
      </c>
    </row>
    <row r="8" spans="3:18" ht="327" customHeight="1">
      <c r="C8" s="205" t="s">
        <v>71</v>
      </c>
      <c r="D8" s="111" t="s">
        <v>78</v>
      </c>
      <c r="E8" s="112" t="s">
        <v>146</v>
      </c>
      <c r="F8" s="113" t="s">
        <v>147</v>
      </c>
      <c r="G8" s="120" t="s">
        <v>148</v>
      </c>
      <c r="H8" s="114" t="s">
        <v>149</v>
      </c>
      <c r="I8" s="115" t="s">
        <v>131</v>
      </c>
      <c r="J8" s="115" t="s">
        <v>132</v>
      </c>
      <c r="K8" s="115" t="s">
        <v>133</v>
      </c>
      <c r="L8" s="116"/>
    </row>
    <row r="9" spans="3:18" ht="409.5">
      <c r="C9" s="205"/>
      <c r="D9" s="111" t="s">
        <v>77</v>
      </c>
      <c r="E9" s="112" t="s">
        <v>150</v>
      </c>
      <c r="F9" s="113" t="s">
        <v>151</v>
      </c>
      <c r="G9" s="120" t="s">
        <v>152</v>
      </c>
      <c r="H9" s="117" t="s">
        <v>153</v>
      </c>
      <c r="I9" s="118" t="s">
        <v>134</v>
      </c>
      <c r="J9" s="119"/>
      <c r="K9" s="115" t="s">
        <v>135</v>
      </c>
      <c r="L9" s="116"/>
    </row>
    <row r="10" spans="3:18" ht="297.75" customHeight="1">
      <c r="C10" s="205" t="s">
        <v>72</v>
      </c>
      <c r="D10" s="111" t="s">
        <v>78</v>
      </c>
      <c r="E10" s="112" t="s">
        <v>154</v>
      </c>
      <c r="F10" s="113" t="s">
        <v>155</v>
      </c>
      <c r="G10" s="120" t="s">
        <v>156</v>
      </c>
      <c r="H10" s="114" t="s">
        <v>157</v>
      </c>
      <c r="I10" s="115" t="s">
        <v>136</v>
      </c>
      <c r="J10" s="115"/>
      <c r="K10" s="115" t="s">
        <v>137</v>
      </c>
      <c r="L10" s="116"/>
    </row>
    <row r="11" spans="3:18" ht="294.75" customHeight="1">
      <c r="C11" s="205"/>
      <c r="D11" s="111" t="s">
        <v>77</v>
      </c>
      <c r="E11" s="126" t="s">
        <v>158</v>
      </c>
      <c r="F11" s="113" t="s">
        <v>159</v>
      </c>
      <c r="G11" s="120" t="s">
        <v>160</v>
      </c>
      <c r="H11" s="114" t="s">
        <v>161</v>
      </c>
      <c r="I11" s="115" t="s">
        <v>138</v>
      </c>
      <c r="J11" s="119"/>
      <c r="K11" s="115" t="s">
        <v>139</v>
      </c>
      <c r="L11" s="116"/>
    </row>
    <row r="12" spans="3:18" ht="340.5" customHeight="1" thickBot="1">
      <c r="C12" s="102" t="s">
        <v>73</v>
      </c>
      <c r="D12" s="103" t="s">
        <v>77</v>
      </c>
      <c r="E12" s="127" t="s">
        <v>162</v>
      </c>
      <c r="F12" s="121" t="s">
        <v>163</v>
      </c>
      <c r="G12" s="122" t="s">
        <v>160</v>
      </c>
      <c r="H12" s="123" t="s">
        <v>164</v>
      </c>
      <c r="I12" s="124" t="s">
        <v>140</v>
      </c>
      <c r="J12" s="124"/>
      <c r="K12" s="124" t="s">
        <v>141</v>
      </c>
    </row>
    <row r="14" spans="3:18">
      <c r="G14" s="125" t="s">
        <v>97</v>
      </c>
    </row>
    <row r="16" spans="3:18">
      <c r="E16" s="99" t="s">
        <v>101</v>
      </c>
      <c r="F16" s="99" t="s">
        <v>102</v>
      </c>
      <c r="G16" s="99" t="s">
        <v>98</v>
      </c>
      <c r="H16" s="99" t="s">
        <v>110</v>
      </c>
      <c r="I16" s="99" t="s">
        <v>99</v>
      </c>
    </row>
    <row r="17" spans="5:9" ht="34">
      <c r="E17" s="98" t="s">
        <v>103</v>
      </c>
      <c r="F17" s="97" t="s">
        <v>100</v>
      </c>
      <c r="G17" s="97" t="s">
        <v>104</v>
      </c>
      <c r="H17" s="97" t="s">
        <v>105</v>
      </c>
      <c r="I17" s="97" t="s">
        <v>121</v>
      </c>
    </row>
    <row r="18" spans="5:9" ht="34">
      <c r="E18" s="201" t="s">
        <v>106</v>
      </c>
      <c r="F18" s="97" t="s">
        <v>124</v>
      </c>
      <c r="G18" s="97" t="s">
        <v>107</v>
      </c>
      <c r="H18" s="97" t="s">
        <v>105</v>
      </c>
      <c r="I18" s="97"/>
    </row>
    <row r="19" spans="5:9">
      <c r="E19" s="202"/>
      <c r="F19" s="97" t="s">
        <v>125</v>
      </c>
      <c r="G19" s="97"/>
      <c r="H19" s="97"/>
      <c r="I19" s="97"/>
    </row>
    <row r="20" spans="5:9">
      <c r="E20" s="203"/>
      <c r="F20" s="97" t="s">
        <v>126</v>
      </c>
      <c r="G20" s="97"/>
      <c r="H20" s="97"/>
      <c r="I20" s="97"/>
    </row>
    <row r="21" spans="5:9" ht="34">
      <c r="E21" s="201" t="s">
        <v>108</v>
      </c>
      <c r="F21" s="97" t="s">
        <v>122</v>
      </c>
      <c r="G21" s="97" t="s">
        <v>109</v>
      </c>
      <c r="H21" s="97" t="s">
        <v>105</v>
      </c>
      <c r="I21" s="97"/>
    </row>
    <row r="22" spans="5:9" ht="34">
      <c r="E22" s="203"/>
      <c r="F22" s="97" t="s">
        <v>123</v>
      </c>
      <c r="G22" s="97"/>
      <c r="H22" s="97"/>
      <c r="I22" s="97"/>
    </row>
    <row r="23" spans="5:9" ht="34">
      <c r="E23" s="98" t="s">
        <v>113</v>
      </c>
      <c r="F23" s="97" t="s">
        <v>111</v>
      </c>
      <c r="G23" s="97" t="s">
        <v>112</v>
      </c>
      <c r="H23" s="97" t="s">
        <v>105</v>
      </c>
      <c r="I23" s="97"/>
    </row>
    <row r="24" spans="5:9">
      <c r="E24" s="98"/>
      <c r="F24" s="97" t="s">
        <v>114</v>
      </c>
      <c r="G24" s="97" t="s">
        <v>115</v>
      </c>
      <c r="H24" s="97" t="s">
        <v>105</v>
      </c>
      <c r="I24" s="97"/>
    </row>
    <row r="25" spans="5:9" ht="34">
      <c r="E25" s="98" t="s">
        <v>116</v>
      </c>
      <c r="F25" s="97" t="s">
        <v>118</v>
      </c>
      <c r="G25" s="97" t="s">
        <v>119</v>
      </c>
      <c r="H25" s="97" t="s">
        <v>105</v>
      </c>
      <c r="I25" s="97"/>
    </row>
    <row r="26" spans="5:9" ht="34">
      <c r="E26" s="98" t="s">
        <v>117</v>
      </c>
      <c r="F26" s="97" t="s">
        <v>120</v>
      </c>
      <c r="G26" s="97"/>
      <c r="H26" s="97" t="s">
        <v>105</v>
      </c>
      <c r="I26" s="97"/>
    </row>
  </sheetData>
  <mergeCells count="9">
    <mergeCell ref="E18:E20"/>
    <mergeCell ref="E21:E22"/>
    <mergeCell ref="O4:Q4"/>
    <mergeCell ref="C8:C9"/>
    <mergeCell ref="C2:K2"/>
    <mergeCell ref="C10:C11"/>
    <mergeCell ref="C4:D4"/>
    <mergeCell ref="E4:K4"/>
    <mergeCell ref="L4:N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a27472-36b6-47ba-b5a5-88ba513194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E06CC04CADCC74D9C8490A18E58F2EF" ma:contentTypeVersion="16" ma:contentTypeDescription="새 문서를 만듭니다." ma:contentTypeScope="" ma:versionID="eb54e074e80ce19c3d65126a780670be">
  <xsd:schema xmlns:xsd="http://www.w3.org/2001/XMLSchema" xmlns:xs="http://www.w3.org/2001/XMLSchema" xmlns:p="http://schemas.microsoft.com/office/2006/metadata/properties" xmlns:ns3="2da27472-36b6-47ba-b5a5-88ba513194a2" xmlns:ns4="8fb2e2a3-6211-4a1f-88f4-6f89087331aa" targetNamespace="http://schemas.microsoft.com/office/2006/metadata/properties" ma:root="true" ma:fieldsID="9a5b042368e7f0f15756e7176b87c9df" ns3:_="" ns4:_="">
    <xsd:import namespace="2da27472-36b6-47ba-b5a5-88ba513194a2"/>
    <xsd:import namespace="8fb2e2a3-6211-4a1f-88f4-6f89087331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27472-36b6-47ba-b5a5-88ba51319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e2a3-6211-4a1f-88f4-6f8908733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1C0AC-0A57-4365-9860-821AFC147023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fb2e2a3-6211-4a1f-88f4-6f89087331aa"/>
    <ds:schemaRef ds:uri="2da27472-36b6-47ba-b5a5-88ba513194a2"/>
  </ds:schemaRefs>
</ds:datastoreItem>
</file>

<file path=customXml/itemProps2.xml><?xml version="1.0" encoding="utf-8"?>
<ds:datastoreItem xmlns:ds="http://schemas.openxmlformats.org/officeDocument/2006/customXml" ds:itemID="{7DF1C833-076E-4B8C-96E9-9FC142A1C8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27472-36b6-47ba-b5a5-88ba513194a2"/>
    <ds:schemaRef ds:uri="8fb2e2a3-6211-4a1f-88f4-6f890873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6CA17-5B4B-4C6D-90CC-E67580FC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01_데이터베이스</vt:lpstr>
      <vt:lpstr>01_데이터베이스_기술진단시트</vt:lpstr>
      <vt:lpstr>02_차단엔진및오피스가드</vt:lpstr>
      <vt:lpstr>02_차단엔진및오피스가드_기술진단시트</vt:lpstr>
      <vt:lpstr>03_WEB</vt:lpstr>
      <vt:lpstr>03_WEB_기술진단시트</vt:lpstr>
      <vt:lpstr>04_Windows</vt:lpstr>
      <vt:lpstr>04_Windows_기술진단시트</vt:lpstr>
      <vt:lpstr>05_안드로이드</vt:lpstr>
      <vt:lpstr>05_안드로이드_기술진단시트</vt:lpstr>
      <vt:lpstr>06_AI</vt:lpstr>
      <vt:lpstr>06_AI_기술진단시트</vt:lpstr>
      <vt:lpstr>참고_전체기술스택</vt:lpstr>
      <vt:lpstr>참고_직급별_평가방법</vt:lpstr>
      <vt:lpstr>참고_전체기술스택!Print_Area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정지원</dc:creator>
  <cp:lastModifiedBy>김선준</cp:lastModifiedBy>
  <cp:lastPrinted>2025-01-24T02:21:40Z</cp:lastPrinted>
  <dcterms:created xsi:type="dcterms:W3CDTF">2025-01-24T01:27:35Z</dcterms:created>
  <dcterms:modified xsi:type="dcterms:W3CDTF">2025-06-11T06:49:51Z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0x0101004E06CC04CADCC74D9C8490A18E58F2EF</vt:lpwstr>
  </property>
</Properties>
</file>